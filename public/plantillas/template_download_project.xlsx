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uario\OneDrive - Entel Peru S.A\Escritorio\app\wf_front-app\public\plantillas\"/>
    </mc:Choice>
  </mc:AlternateContent>
  <xr:revisionPtr revIDLastSave="0" documentId="13_ncr:1_{76C539B0-3831-4FE9-8311-EF1B4AE5C607}" xr6:coauthVersionLast="47" xr6:coauthVersionMax="47" xr10:uidLastSave="{00000000-0000-0000-0000-000000000000}"/>
  <bookViews>
    <workbookView xWindow="-108" yWindow="-108" windowWidth="23256" windowHeight="12456" tabRatio="697" xr2:uid="{00000000-000D-0000-FFFF-FFFF00000000}"/>
  </bookViews>
  <sheets>
    <sheet name="Proyectos" sheetId="3" r:id="rId1"/>
    <sheet name="SELECTS" sheetId="18" state="hidden" r:id="rId2"/>
    <sheet name="FCST" sheetId="9" state="hidden" r:id="rId3"/>
  </sheets>
  <definedNames>
    <definedName name="_xlnm._FilterDatabase" localSheetId="0" hidden="1">Proyectos!$A$5:$KN$5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3" l="1"/>
  <c r="AU4" i="3"/>
  <c r="AF4" i="3"/>
  <c r="BW4" i="3"/>
  <c r="BI4" i="3"/>
  <c r="R4" i="3"/>
  <c r="KF4" i="3"/>
  <c r="KE4" i="3"/>
  <c r="KD4" i="3"/>
  <c r="KC4" i="3"/>
  <c r="KB4" i="3"/>
  <c r="KA4" i="3"/>
  <c r="JZ4" i="3"/>
  <c r="JY4" i="3"/>
  <c r="JX4" i="3"/>
  <c r="JW4" i="3"/>
  <c r="JV4" i="3"/>
  <c r="JU4" i="3"/>
  <c r="JT4" i="3"/>
  <c r="JS4" i="3"/>
  <c r="JR4" i="3"/>
  <c r="JQ4" i="3"/>
  <c r="JP4" i="3"/>
  <c r="JO4" i="3"/>
  <c r="JN4" i="3"/>
  <c r="JM4" i="3"/>
  <c r="JL4" i="3"/>
  <c r="JK4" i="3"/>
  <c r="JJ4" i="3"/>
  <c r="JI4" i="3"/>
  <c r="JH4" i="3"/>
  <c r="JG4" i="3"/>
  <c r="JF4" i="3"/>
  <c r="JE4" i="3"/>
  <c r="JD4" i="3"/>
  <c r="JC4" i="3"/>
  <c r="JB4" i="3"/>
  <c r="JA4" i="3"/>
  <c r="IZ4" i="3"/>
  <c r="IY4" i="3"/>
  <c r="IX4" i="3"/>
  <c r="IW4" i="3"/>
  <c r="IV4" i="3"/>
  <c r="IU4" i="3"/>
  <c r="IT4" i="3"/>
  <c r="IS4" i="3"/>
  <c r="IR4" i="3"/>
  <c r="IQ4" i="3"/>
  <c r="IP4" i="3"/>
  <c r="IO4" i="3"/>
  <c r="IN4" i="3"/>
  <c r="IM4" i="3"/>
  <c r="IL4" i="3"/>
  <c r="IK4" i="3"/>
  <c r="IJ4" i="3"/>
  <c r="II4" i="3"/>
  <c r="IH4" i="3"/>
  <c r="IG4" i="3"/>
  <c r="IF4" i="3"/>
  <c r="IE4" i="3"/>
  <c r="ID4" i="3"/>
  <c r="IC4" i="3"/>
  <c r="IB4" i="3"/>
  <c r="IA4" i="3"/>
  <c r="HZ4" i="3"/>
  <c r="HY4" i="3"/>
  <c r="HX4" i="3"/>
  <c r="HW4" i="3"/>
  <c r="HV4" i="3"/>
  <c r="HU4" i="3"/>
  <c r="HT4" i="3"/>
  <c r="HS4" i="3"/>
  <c r="HR4" i="3"/>
  <c r="HQ4" i="3"/>
  <c r="HP4" i="3"/>
  <c r="HO4" i="3"/>
  <c r="HN4" i="3"/>
  <c r="HM4" i="3"/>
  <c r="HL4" i="3"/>
  <c r="HK4" i="3"/>
  <c r="HJ4" i="3"/>
  <c r="HI4" i="3"/>
  <c r="HH4" i="3"/>
  <c r="HG4" i="3"/>
  <c r="HF4" i="3"/>
  <c r="HE4" i="3"/>
  <c r="HD4" i="3"/>
  <c r="HC4" i="3"/>
  <c r="HB4" i="3"/>
  <c r="HA4" i="3"/>
  <c r="GZ4" i="3"/>
  <c r="GY4" i="3"/>
  <c r="GX4" i="3"/>
  <c r="GW4" i="3"/>
  <c r="GV4" i="3"/>
  <c r="GU4" i="3"/>
  <c r="GT4" i="3"/>
  <c r="GS4" i="3"/>
  <c r="GR4" i="3"/>
  <c r="GQ4" i="3"/>
  <c r="GP4" i="3"/>
  <c r="GO4" i="3"/>
  <c r="GN4" i="3"/>
  <c r="GM4" i="3"/>
  <c r="GL4" i="3"/>
  <c r="GK4" i="3"/>
  <c r="GJ4" i="3"/>
  <c r="GI4" i="3"/>
  <c r="GH4" i="3"/>
  <c r="GG4" i="3"/>
  <c r="GF4" i="3"/>
  <c r="GE4" i="3"/>
  <c r="GD4" i="3"/>
  <c r="GC4" i="3"/>
  <c r="GB4" i="3"/>
  <c r="GA4" i="3"/>
  <c r="FZ4" i="3"/>
  <c r="FY4" i="3"/>
  <c r="FX4" i="3"/>
  <c r="FW4" i="3"/>
  <c r="FV4" i="3"/>
  <c r="FU4" i="3"/>
  <c r="FT4" i="3"/>
  <c r="FS4" i="3"/>
  <c r="FR4" i="3"/>
  <c r="FQ4" i="3"/>
  <c r="FP4" i="3"/>
  <c r="FO4" i="3"/>
  <c r="FN4" i="3"/>
  <c r="FM4" i="3"/>
  <c r="FL4" i="3"/>
  <c r="FK4" i="3"/>
  <c r="FJ4" i="3"/>
  <c r="FI4" i="3"/>
  <c r="FH4" i="3"/>
  <c r="FG4" i="3"/>
  <c r="FF4" i="3"/>
  <c r="FE4" i="3"/>
  <c r="FD4" i="3"/>
  <c r="FC4" i="3"/>
  <c r="FB4" i="3"/>
  <c r="FA4" i="3"/>
  <c r="EZ4" i="3"/>
  <c r="EY4" i="3"/>
  <c r="EX4" i="3"/>
  <c r="EW4" i="3"/>
  <c r="EV4" i="3"/>
  <c r="EU4" i="3"/>
  <c r="ET4" i="3"/>
  <c r="ES4" i="3"/>
  <c r="ER4" i="3"/>
  <c r="EQ4" i="3"/>
  <c r="EP4" i="3"/>
  <c r="EO4" i="3"/>
  <c r="EN4" i="3"/>
  <c r="EM4" i="3"/>
  <c r="EL4" i="3"/>
  <c r="EK4" i="3"/>
  <c r="EJ4" i="3"/>
  <c r="EI4" i="3"/>
  <c r="EH4" i="3"/>
  <c r="EG4" i="3"/>
  <c r="EF4" i="3"/>
  <c r="EE4" i="3"/>
  <c r="ED4" i="3"/>
  <c r="EC4" i="3"/>
  <c r="EB4" i="3"/>
  <c r="EA4" i="3"/>
  <c r="DZ4" i="3"/>
  <c r="DY4" i="3"/>
  <c r="DX4" i="3"/>
  <c r="DW4" i="3"/>
  <c r="DV4" i="3"/>
  <c r="DU4" i="3"/>
  <c r="DT4" i="3"/>
  <c r="DS4" i="3"/>
  <c r="DR4" i="3"/>
  <c r="DQ4" i="3"/>
  <c r="DP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Q4" i="3"/>
  <c r="P4" i="3"/>
  <c r="O4" i="3"/>
  <c r="K4" i="3"/>
  <c r="K5" i="3"/>
  <c r="L5" i="3"/>
  <c r="N5" i="3"/>
  <c r="N4" i="3" l="1"/>
  <c r="L4" i="3"/>
  <c r="M4" i="3"/>
  <c r="KJ4" i="3" l="1"/>
  <c r="KI4" i="3"/>
  <c r="KG4" i="3"/>
</calcChain>
</file>

<file path=xl/sharedStrings.xml><?xml version="1.0" encoding="utf-8"?>
<sst xmlns="http://schemas.openxmlformats.org/spreadsheetml/2006/main" count="4241" uniqueCount="1665">
  <si>
    <t>CAPEX/OPEX</t>
  </si>
  <si>
    <t>Código Proyecto</t>
  </si>
  <si>
    <t>Nombre Proyecto</t>
  </si>
  <si>
    <t>Inversión/SubRubro</t>
  </si>
  <si>
    <t>Jefatura Final</t>
  </si>
  <si>
    <t>PM ACTUAL</t>
  </si>
  <si>
    <t>SOLPE</t>
  </si>
  <si>
    <t>Importe RQ</t>
  </si>
  <si>
    <t>Importe OC</t>
  </si>
  <si>
    <t>Importe Facturado</t>
  </si>
  <si>
    <t>JULIO FCST 6+18</t>
  </si>
  <si>
    <t>AGOSTO FCST 6+18</t>
  </si>
  <si>
    <t>SETIEMBRE FCST 6+18</t>
  </si>
  <si>
    <t>OCTUBRE FCST 6+18</t>
  </si>
  <si>
    <t>NOVIEMBRE FCST 6+18</t>
  </si>
  <si>
    <t>DICIEMBRE FCST 6+18</t>
  </si>
  <si>
    <t>Categoría</t>
  </si>
  <si>
    <t>CRECIMIENTO AUTOMÁTICO DE RED 2021 - SERVICIOS FIJOS</t>
  </si>
  <si>
    <t>Pend. Asignación</t>
  </si>
  <si>
    <t>CRECIMIENTO DE RED AUTOMÁTICO 2022 (FIJA)</t>
  </si>
  <si>
    <t>DC06 - INSTALACION DE RACK DE CLIENTES</t>
  </si>
  <si>
    <t>CRECIMIENTO AUTOMÁTICO DE RED 2022 - SERVICIOS FIJOS</t>
  </si>
  <si>
    <t>CRECIMIENTO AUTOMÁTICO DE RED WHOLESALE 2022</t>
  </si>
  <si>
    <t>GPON VERTICAL 2022</t>
  </si>
  <si>
    <t>SISTEMA OSS 2022</t>
  </si>
  <si>
    <t>MINERA CORIWAYRA</t>
  </si>
  <si>
    <t>ALFIN BANCO S.A</t>
  </si>
  <si>
    <t>DPP CORP S.A</t>
  </si>
  <si>
    <t>COMEXA COMERCIALIZADORA EXTRANJERA</t>
  </si>
  <si>
    <t>HERMES TRANSPORTES BLINDADOS SA</t>
  </si>
  <si>
    <t>AEROPUERTOS ANDINOS DEL PERU S.A</t>
  </si>
  <si>
    <t>SECURITAS S.A.C</t>
  </si>
  <si>
    <t>IPT 2023 - WHOLESALE</t>
  </si>
  <si>
    <t>CRA GPON (RED) 2023</t>
  </si>
  <si>
    <t>Habilitaciones FO - Clientes fijos</t>
  </si>
  <si>
    <t>RED FIJA MULTISERVICIOS 2023</t>
  </si>
  <si>
    <t>DESARROLLO VIAL DE LOS ANDES</t>
  </si>
  <si>
    <t>GPON VERTICAL EMPRESAS 2023</t>
  </si>
  <si>
    <t>CRECIMIENTO AUTOMATICO DE RED SERVICIOS FIJOS 2023</t>
  </si>
  <si>
    <t>CRECIMIENTO AUTOMATICO DE RED WHOLESALE 2023</t>
  </si>
  <si>
    <t>Sistema OSS 2023</t>
  </si>
  <si>
    <t>PERSONAS FIJO - GPON HOGAR 2023</t>
  </si>
  <si>
    <t>PAGO PENDIENTE A CONTRATAS (DEL 2022)</t>
  </si>
  <si>
    <t>ENGIE - OPORTUNIDAD</t>
  </si>
  <si>
    <t>TUPs / Regulatorio - 2023</t>
  </si>
  <si>
    <t>BIG DEAL EXIMPORT 2023</t>
  </si>
  <si>
    <t>GPON VERTICAL HOGAR 2023</t>
  </si>
  <si>
    <t>BIGDEAL HARD DISCOUNT 2023</t>
  </si>
  <si>
    <t>MIGRACION DE SERVICIOS FIJOS (DINSTAR) 2024</t>
  </si>
  <si>
    <t>CRA FIJO 2024</t>
  </si>
  <si>
    <t>IPTP CANON - CERRO PRIETO - YE 2024</t>
  </si>
  <si>
    <t>PMs - GESTORES DE PROYECTOS 2024</t>
  </si>
  <si>
    <t>DC CIRION RED FIJA 2024</t>
  </si>
  <si>
    <t>EMPRESAS FIJO - SATELITAL 2024</t>
  </si>
  <si>
    <t>BIG DEAL - TELXIUS ENLACE DE DATOS 2024</t>
  </si>
  <si>
    <t>CLIENTE IPT - WHOLESALE 2024</t>
  </si>
  <si>
    <t>PROYECTO NAZCA (DESPLIEGUE FO E INTERCONEXIÓN DE PE-COM Y OLT (ODI)) 2023</t>
  </si>
  <si>
    <t>EMPRESAS FIJO - GPON 2023</t>
  </si>
  <si>
    <t>IMPLEMENTACION ACS MULTIMARCA 2024</t>
  </si>
  <si>
    <t>CAPITALIZABLES MENORES - PLANTA EXTERNA NAZCA 2024</t>
  </si>
  <si>
    <t>MATERIALES AVERIAS - B2C</t>
  </si>
  <si>
    <t>MATERIALES AVERIAS - B2B</t>
  </si>
  <si>
    <t>RANCO 2021</t>
  </si>
  <si>
    <t>DESPLIEGUE INDOOR CLIENTES EMPRESAS 2021</t>
  </si>
  <si>
    <t>ROLLOUT 2021</t>
  </si>
  <si>
    <t>DESPLIEGUE 5G 2021</t>
  </si>
  <si>
    <t>CRECIMIENTO AUTOMÁTICO DE RED WHOLESALE 2021</t>
  </si>
  <si>
    <t>CRECIMIENTO DE RED AUTOMATICO CRA 2021</t>
  </si>
  <si>
    <t>REGULATORIOS 2.3 (GU7)</t>
  </si>
  <si>
    <t>REGULATORIO APT - AÑO 5</t>
  </si>
  <si>
    <t>CONFIGURACION OVERLAP ROAMING NACIONAL</t>
  </si>
  <si>
    <t>MIDDLEWARE DE PROVISION</t>
  </si>
  <si>
    <t>DESPLIEGUE INDOOR CLIENTES EMPRESAS 2022</t>
  </si>
  <si>
    <t>RANCO 2022</t>
  </si>
  <si>
    <t>ROLL OUT 2022</t>
  </si>
  <si>
    <t>DESPLIEGUE 5G 2022</t>
  </si>
  <si>
    <t>COBERTURA APT 2022</t>
  </si>
  <si>
    <t>REGULATORIOS 2.3 (GU7) 2022</t>
  </si>
  <si>
    <t>DESPLIEGUE INBUILDING 2022</t>
  </si>
  <si>
    <t>MIGRACIÓN DE SOFTSWITCH HACIA IMS MÓVIL 000028 LM MSO</t>
  </si>
  <si>
    <t>MIGRACIÓN DE SOFTSWITCH HACIA IMS MÓVIL 000522 LM IB MSO San Borja</t>
  </si>
  <si>
    <t>AMPLIACIÓN CORE IP/MPLS</t>
  </si>
  <si>
    <t>CDN/Peering/Internet</t>
  </si>
  <si>
    <t>RENOVACION DE EQUIPOS EOS</t>
  </si>
  <si>
    <t>PROYECTO SOCIEDAD MINERA CORONA</t>
  </si>
  <si>
    <t>PROYECTO SIERRA POLI</t>
  </si>
  <si>
    <t>DESMONTAJE DIRECNET</t>
  </si>
  <si>
    <t>CRECIMIENTO DE RED AUTOMATICO - MÓVIL 2022</t>
  </si>
  <si>
    <t>AMPLIACIÓN CAPACIDAD CORE 5G NSA 2022</t>
  </si>
  <si>
    <t>TRIAL IP CORE Y DWDM</t>
  </si>
  <si>
    <t>REGULARIZACIÓN DE LICENCIAS 2022</t>
  </si>
  <si>
    <t>REUBICACIONES Y REMODELACIONES DE NODO</t>
  </si>
  <si>
    <t>Reposición de autonomía de sitios por robo de bancos 2022</t>
  </si>
  <si>
    <t>Recuperación de autonomía en sitios de la red 2022</t>
  </si>
  <si>
    <t>ALQUILER DE CAMIONETA 2022</t>
  </si>
  <si>
    <t>COBERTURA APT 2023</t>
  </si>
  <si>
    <t>COBERTURA 5G DSS 2023</t>
  </si>
  <si>
    <t>Mejoras GO APP 2022</t>
  </si>
  <si>
    <t>ADECUACIONES RSO TRUJILLO</t>
  </si>
  <si>
    <t>RANCO 2023</t>
  </si>
  <si>
    <t>REGULATORIO 700 NUEVOS POLIGONOS Y CVM 2Mbps 2023</t>
  </si>
  <si>
    <t>MANTENER DECLARATORIO PROVINCIAS 2023</t>
  </si>
  <si>
    <t>REGULATORIO 3.5GHz Entel</t>
  </si>
  <si>
    <t>CRECIMIENTO DE RED AUTOMATICO CRA MOVIL 2023</t>
  </si>
  <si>
    <t>ROLL OUT 2023</t>
  </si>
  <si>
    <t>RECUPERACION DE AUTONOMIA EN SITIOS 2023</t>
  </si>
  <si>
    <t>RECUPERACION DE AUTONOMIA DE SITIOS POR ROBO DE BANCO DE BATERIAS 2023</t>
  </si>
  <si>
    <t>CAPITALIZABLES MENORES - PLANTA EXTERNA 2023</t>
  </si>
  <si>
    <t>VULNERABILIDAD RED PLANTA EXTERNA 2023</t>
  </si>
  <si>
    <t>AMPLIACION DE CAPACIDAD CORE 5G NSA (EXP) 2023</t>
  </si>
  <si>
    <t>AMPLIACION DE CAPACIDAD CORE 5G NSA (Y3) 2023</t>
  </si>
  <si>
    <t>AMPLIACION DE CAPACIDAD DEL EIR 2023</t>
  </si>
  <si>
    <t>AMPLIACION DE CAPACIDAD DEL IMS 2023</t>
  </si>
  <si>
    <t>AMPLIACION DE CAPACIDAD DEL SPS 2023</t>
  </si>
  <si>
    <t>AMPLIACION DE CAPACIDAD PCRF 2023</t>
  </si>
  <si>
    <t>AMPLIACION DE ENLACES DE AGREGACION CORE 2023</t>
  </si>
  <si>
    <t>EVOLUTION OF INTERNET INFRASTRUCTURE 2023</t>
  </si>
  <si>
    <t>MODERNIZACION Y SECURITY HARDENING DE LA RED MANAGEMENT 2023</t>
  </si>
  <si>
    <t>NEXT GENERATION CORE NETWORK 2023</t>
  </si>
  <si>
    <t>RENOVACION DE EQUIPOS CORE NETWORK 2023</t>
  </si>
  <si>
    <t>RENOVACION NFVI 2023</t>
  </si>
  <si>
    <t>RUTA FO LA OROYA (CRA MOVIL) 2023</t>
  </si>
  <si>
    <t>SEGURIDAD PERIMETRAL E IMPLEMENTACION AD REDES (2DA FASE DE ZERO TRUST NETWORK ACCESS - ZTNA) 2023</t>
  </si>
  <si>
    <t>PUNTOS DE VENTAS (PDV) 2023</t>
  </si>
  <si>
    <t>REGULATORIO 38 GHz</t>
  </si>
  <si>
    <t>REGULATORIO 2.3 (REGULARIZACION DEL 2022)</t>
  </si>
  <si>
    <t>IMPLEMENTACION CORE DATOS IQUITOS 2023</t>
  </si>
  <si>
    <t>RENOVACION VAS UNIFICADO - 2023</t>
  </si>
  <si>
    <t>OPTIMIZACION DE ESPACIO EN TORRE - REDUCCION OPEX 2023</t>
  </si>
  <si>
    <t>CRECIMIENTO DE RED AUTOMATICO CRA MOVIL 2023 - PARTE 2</t>
  </si>
  <si>
    <t>RANCO 2023 - PARTE 2</t>
  </si>
  <si>
    <t>COMPANIA DE MINAS BUENAVENTURA 2023</t>
  </si>
  <si>
    <t>HERRAMIENTA DE DISENO Y GEOCALIZACION 2023</t>
  </si>
  <si>
    <t>REUBICACION DE PLANTA EXTERNA 2023</t>
  </si>
  <si>
    <t>FACILITIES MSOs 2023</t>
  </si>
  <si>
    <t>AMPLIACION Y REORDENAMIENTO DE REDES GPON 2023</t>
  </si>
  <si>
    <t>AMPLIACION DE GESTORES - 2023</t>
  </si>
  <si>
    <t>REUBICACION DE MW 2023</t>
  </si>
  <si>
    <t>RENOVACION DE EQUIPOS IPCLOCKS 2023</t>
  </si>
  <si>
    <t>TRIAL OPEN RAN 5G SA - NTT DOCOMO 2023</t>
  </si>
  <si>
    <t>AMPLIACION DE CAPACIDAD HSS POR VULNERABILIDAD 2023</t>
  </si>
  <si>
    <t>RENOVACION GRANJA MOVIL 2023</t>
  </si>
  <si>
    <t>RECUPERACION DE AUTONOMIAS MSOs, RSOs y ST 2023</t>
  </si>
  <si>
    <t>SERVICIOS REPOSICION AUTONOMIA EN SITIOS FEN 2023</t>
  </si>
  <si>
    <t>DESPLIEGUE INDOOR CLIENTES EMPRESAS 2023</t>
  </si>
  <si>
    <t>MANTENIMIENTO - INTEGRAL DE TORRES 2025</t>
  </si>
  <si>
    <t>HABILITACION RELE FALLA A TIERRA EN LMT - REGULATORIO 2023</t>
  </si>
  <si>
    <t>HABILITACION TRANSFORMADOR DE AISLAMIENTO - REGULATORIO - 2023</t>
  </si>
  <si>
    <t>PROYECTO RANCO - ADELANTO 2024</t>
  </si>
  <si>
    <t>FACILITIES SITES 2023</t>
  </si>
  <si>
    <t>AMPLIACIONES Y REMODELACIONES INBUILDING 2023</t>
  </si>
  <si>
    <t>RUTA FO SAN MARTIN (CRA MOVIL) 2023</t>
  </si>
  <si>
    <t>CAMBIO DE GENERADORES (ALTERNADORES) 2023</t>
  </si>
  <si>
    <t>CAMBIO POR OBSOLESCENCIA - SISTEMAS DE CLIMATIZACION EN LOS MSOS 2023</t>
  </si>
  <si>
    <t>CAPITALIZABLES MENORES REPUESTOS DE ENERGIA Y CLIMA 2023</t>
  </si>
  <si>
    <t>PROTECCION DE LOS ENLACES POR FENOMENO DEL NIÑO 2023</t>
  </si>
  <si>
    <t>MANTENIMIENTO MAYOR GES (CAMBIO DE MOTORES) 2023</t>
  </si>
  <si>
    <t>REUBICACIONES Y REMODELACIONES DE NODO 2023</t>
  </si>
  <si>
    <t>SISTEMA DE CLIMATIZACION EN SITES 2023</t>
  </si>
  <si>
    <t>EXPANSION DE RED FUERA DE BANDA 2023</t>
  </si>
  <si>
    <t>DESPLIEGUE INDOOR CLIENTES EMPRESAS 2024</t>
  </si>
  <si>
    <t>REFARMING 1900 2024</t>
  </si>
  <si>
    <t>LICENCIAS DE CAPACIDAD RAN 2024</t>
  </si>
  <si>
    <t>DESPLIEGUE 5G 2024</t>
  </si>
  <si>
    <t>AMPLIACION DE ENLACES DE AGREGACION CORE 2024</t>
  </si>
  <si>
    <t>AMPLIACIONES DE CAPACIDAD CDN/PEERING/TIER-X 2024</t>
  </si>
  <si>
    <t>CAPACIDAD TRONCAL 2024 CORE MPLS 2024</t>
  </si>
  <si>
    <t>CGNAT MOVIL 2024</t>
  </si>
  <si>
    <t>INTERFACES PE-CORE 5G 2024</t>
  </si>
  <si>
    <t>LEVANTAMIENTO RED MPLS PARA SRV6 FASE 0 2024</t>
  </si>
  <si>
    <t>AMPLIACION SMARTCARE 2024</t>
  </si>
  <si>
    <t>AMPLIACION DE CAPACIDAD UPCF 2024</t>
  </si>
  <si>
    <t>EVOLUCION Y EXPANSION DE UDM 2024</t>
  </si>
  <si>
    <t>EVOLUCION Y EXPANSION DE USC (DRA) 2024</t>
  </si>
  <si>
    <t>AMPLIACION DE CAPACIDAD DEL IMS 2024</t>
  </si>
  <si>
    <t>REFARMING 2300 2024</t>
  </si>
  <si>
    <t>RANCO 2024</t>
  </si>
  <si>
    <t>REGULATORIO NUEVOS POLIGONOS 700 Y CVM 2024</t>
  </si>
  <si>
    <t>ROLLOUT 2024</t>
  </si>
  <si>
    <t>COBERTURA INDOOR APT 2024</t>
  </si>
  <si>
    <t>RECUPERACION DE AUTONOMIA EN SITIOS 2024</t>
  </si>
  <si>
    <t>OIL SAVING 2024</t>
  </si>
  <si>
    <t>CRA MOVIL 2024</t>
  </si>
  <si>
    <t>SOFTWARE FEE 2024</t>
  </si>
  <si>
    <t>SOFTWARE FEE 5G 2024</t>
  </si>
  <si>
    <t>REGULATORIO 3.5 NUEVO 2024</t>
  </si>
  <si>
    <t>REUBICACION DE PLANTA EXTERNA 2024</t>
  </si>
  <si>
    <t>MANTENIMIENTO MAYOR LMT 2024</t>
  </si>
  <si>
    <t>SOLUCION AMAZON - STARLINK 2024</t>
  </si>
  <si>
    <t>IMPLEMENTACION PLATAFORMA PAM 2024</t>
  </si>
  <si>
    <t>AMPLIACIONES Y REMODELACIONES INBUILDING 2024</t>
  </si>
  <si>
    <t>REUBICACIÓN DE MW 2024</t>
  </si>
  <si>
    <t>SANEAMIENTO INMUEBLES SBN 2024</t>
  </si>
  <si>
    <t>REUBICACIONES Y REMODELAMIENTO DE NODOS 2024</t>
  </si>
  <si>
    <t>REFORZAMIENTOS ESTRUCTURALES DE TORRES NEXTEL 2024</t>
  </si>
  <si>
    <t>OPTIMIZACION DE ESPACIO EN TORRE - REDUCCION OPEX 2024</t>
  </si>
  <si>
    <t>RENOVACION VAS UNIFICADO 2024</t>
  </si>
  <si>
    <t>NUEVOS SITIOS 5G CORE (3) Y EXPANSION (1) 2024</t>
  </si>
  <si>
    <t>EXPANSION DWDM RED CORE AGREGACION METRO LIMA 2024</t>
  </si>
  <si>
    <t>EVOLUCION, MODERNIZACION Y NUEVAS FUNCIONALIDADES RED DWDM 2024</t>
  </si>
  <si>
    <t>AMPLIACION DE PLATAFORMAS ROAMING 2024</t>
  </si>
  <si>
    <t>MODULOS INVERSORES 2024</t>
  </si>
  <si>
    <t>CAPITALIZABLES MENORES - PLANTA EXTERNA 2024</t>
  </si>
  <si>
    <t>CAMBIO DE PDFS MSOS 2024</t>
  </si>
  <si>
    <t>ADECUACIONES DE ENERGIA MSOS 2024</t>
  </si>
  <si>
    <t>CAPITALIZACION DE GASTOS LOGISTICOS 2024</t>
  </si>
  <si>
    <t>REUBICACION SITIO RANSA 2024</t>
  </si>
  <si>
    <t>EQUIPAMIENTO DE MICROONDAS PARA RE-ENRUTAMIENTO POR SINIESTRO 2024</t>
  </si>
  <si>
    <t>DESPLIEGUE INDOOR PUNTOS DE VENTA 2024</t>
  </si>
  <si>
    <t>SERVICIO REUBICACION Y SWAP SSEE EL PALOMAR 2024</t>
  </si>
  <si>
    <t>REGULATORIO 700 NP 2024</t>
  </si>
  <si>
    <t>CAMBIO AAS MSOS MIRAFLORES 2024</t>
  </si>
  <si>
    <t>NEXT GENERATION CORE NETWORK 2024</t>
  </si>
  <si>
    <t>AMPLIACIÓN DE GRANJA FIJO 2024</t>
  </si>
  <si>
    <t>SWITCHES DE ACCESO FIJO 2024 - FASE I</t>
  </si>
  <si>
    <t>REFORZAMIENTO Y MANTENIMIENTOS CRITICOS 2024</t>
  </si>
  <si>
    <t>IMPLEMENTACION DE RENOVACION COREFW 2024</t>
  </si>
  <si>
    <t>ADECUACIONES DE IMPLEMENTACION PROYECTOS CORE</t>
  </si>
  <si>
    <t>DESPLIEGUE INDOOR CLIENTES EMPRESAS 2024 - LA CALERA</t>
  </si>
  <si>
    <t>REGULATORIO 2.3 2024</t>
  </si>
  <si>
    <t>COMPRA - 4 BATERIAS DE PLOMO - RECTIFICADOR EMERSON 2024</t>
  </si>
  <si>
    <t>SAN BORJA CORRECTIVOS EN TANQUE 2024</t>
  </si>
  <si>
    <t>COMPRA - LAPTOP REDES 2024</t>
  </si>
  <si>
    <t>SAN BORJA - CAMBIO DE BATERÍAS EN UPS (INCLUYE SERVICIOS) 2024</t>
  </si>
  <si>
    <t>SUMINISTRO DE 3 COMPRESORES PARA AIRE ACONDICIONADO DE PRECISION - MSO SB 2024</t>
  </si>
  <si>
    <t>DEFENSA BANDA 3.5 GHZ AMERICATEL 2024</t>
  </si>
  <si>
    <t>IDEOS - SERVICIO INSTALACIÓN 50 GABINETES 2024</t>
  </si>
  <si>
    <t>MIRAFLORES - CAMBIAR SISTEMA VENTILACION SSEE 2024</t>
  </si>
  <si>
    <t>RECUPERACION DE AUTONOMIA EN SITIOS_S23 2024</t>
  </si>
  <si>
    <t>FLUJO DE APROBACIÓN CR ORACLE 2024</t>
  </si>
  <si>
    <t>COBERTURA INDOOR APT 2024 - FASE 2</t>
  </si>
  <si>
    <t>EXPANSION DWDM PROVINCIAS (3 ANILLOS) 2024</t>
  </si>
  <si>
    <t>EXPANSION DWDM REDCORE METRO EOS 2024</t>
  </si>
  <si>
    <t>EXPANSION DWDM RED CORE IP/MPLS &amp; ISP</t>
  </si>
  <si>
    <t>ADECUACIONES MSOS_SB SOTANO 2 2024</t>
  </si>
  <si>
    <t>MIRAFLORES – CORRECTIVOS EN TANQUE 2024</t>
  </si>
  <si>
    <t>REEMPLAZO STARLINK DE SITIOS 2024</t>
  </si>
  <si>
    <t>CAMBIO DE ALTERNADORES DE GE s_MIR 2024</t>
  </si>
  <si>
    <t>COMPAÑIA DE MINAS BUENAVENTURA 2024</t>
  </si>
  <si>
    <t>FACILITIES CORE 2024</t>
  </si>
  <si>
    <t>REFORZAMIENTO Y MANTENIMIENTOS CRITICOS Parte 2 2024</t>
  </si>
  <si>
    <t>DIGITAL PLATFORM FOR APT700 IMPROVEMENT 2024</t>
  </si>
  <si>
    <t>CGNAT EXPANSION 2024</t>
  </si>
  <si>
    <t>SMARTCARE DRA 2024</t>
  </si>
  <si>
    <t>SERVICIOS Y LICENCIAS D2C 2024</t>
  </si>
  <si>
    <t>LICENSE 1900 2024</t>
  </si>
  <si>
    <t>IDEOS PARTE 2 – SERVICIOS 2024</t>
  </si>
  <si>
    <t>CRA MOVIL - COBERTURA APT 2024</t>
  </si>
  <si>
    <t>PROYECTO 5G_ SWAP CONTROLADORAS</t>
  </si>
  <si>
    <t>NAZCA - IMPLEMENTACION DE LABORATORIO 2023</t>
  </si>
  <si>
    <t>PROYECTO EXPANSION DWDM 2024</t>
  </si>
  <si>
    <t>PROYECTO NETWORKING 2024</t>
  </si>
  <si>
    <t>CGNAT FIJO 2024</t>
  </si>
  <si>
    <t>AMPLIACION Y REORDENAMIENTO DE ODF Y OLTS 2024</t>
  </si>
  <si>
    <t>PROYECTO NAZCA (DESPLIEGUE FO E INTERCONEXIÓN DE PE-COM Y OLT (ODI)) 2024</t>
  </si>
  <si>
    <t>FACILITES NAZCA 2024</t>
  </si>
  <si>
    <t>GPON HOGAR - B2C NAZCA 2024</t>
  </si>
  <si>
    <t>GPON EMPRESAS - B2B NAZCA 2024</t>
  </si>
  <si>
    <t>CRECIMIENTO AUTOMATICO DE RED SERVICIOS FIJOS 2024</t>
  </si>
  <si>
    <t>CRECIMIENTO AUTOMATICO DE WHOLESALE 2024</t>
  </si>
  <si>
    <t>DESINSTALACIONES RADIO ENLACE B2B</t>
  </si>
  <si>
    <t>Desinstalación Planta Externa B2B</t>
  </si>
  <si>
    <t>Desinstalación GPON-EMPRESAS</t>
  </si>
  <si>
    <t>AVERIAS PLANTA EXTERNA EXTRAORDINARIO 2023-2024</t>
  </si>
  <si>
    <t>AVERIAS RADIO ENLACE B2B</t>
  </si>
  <si>
    <t>Averias BAFI B2B</t>
  </si>
  <si>
    <t>Actualización de Factibilidad - Geofinder- 2024</t>
  </si>
  <si>
    <t>POST VENTA RADIO ENLACES EMPRESAS</t>
  </si>
  <si>
    <t>Post venta BAFI B2B</t>
  </si>
  <si>
    <t>AVERÍAS GPON EMPRESAS</t>
  </si>
  <si>
    <t>POST VENTA GPON B2B NAZCA</t>
  </si>
  <si>
    <t>AVERIAS PLANTA EXTERNA</t>
  </si>
  <si>
    <t>Averías Lima_GPON_Hogar - 2024 ( error )</t>
  </si>
  <si>
    <t>Servicio de Soporte de Averías (Outsorcing) - 2024</t>
  </si>
  <si>
    <t>Regularización PY 2023 - Alquiler de postería Entel B2C</t>
  </si>
  <si>
    <t>Averías Lima_GPON_Hogar - 2024</t>
  </si>
  <si>
    <t>OP00804 - Outsourcing personal de atencion NOC - 2024</t>
  </si>
  <si>
    <t>OP23023 - Servicio de Monitoreo N - 2024</t>
  </si>
  <si>
    <t>Servicio Gestion administrativa - 2024</t>
  </si>
  <si>
    <t>Mantenimiento Preventivo (Optimización de Rutas Clientes AMT) - 2024</t>
  </si>
  <si>
    <t>Schaman - Servicio Licencias (soft) - 2024</t>
  </si>
  <si>
    <t>Adquisición Licencias ArcGIS - 2024</t>
  </si>
  <si>
    <t>OUTSOURSING - Procesos B2C - 2024</t>
  </si>
  <si>
    <t>OP00799-Soporte personal de atencion Factibilidades Tecnicas - 2024</t>
  </si>
  <si>
    <t>Servicio Administrativo y logistico - 2024</t>
  </si>
  <si>
    <t>Servicio Factibilidad y proyectos - 2024</t>
  </si>
  <si>
    <t>Servicio de ingenieria calificada - 2024</t>
  </si>
  <si>
    <t>Desinstalaciones - 2022</t>
  </si>
  <si>
    <t>Servicio de Asesoría Célula DevOps - VP Redes 2022</t>
  </si>
  <si>
    <t>SOP095 - Mediciones RAN - trouble tickets - 2022</t>
  </si>
  <si>
    <t>SOP096 - TSS Soluciones Empresas - Macro &amp; Indoor (Survey de RF + TSS constructivo) - 2022</t>
  </si>
  <si>
    <t>SOPORTE DE AUTOMATIZACIONES 2022</t>
  </si>
  <si>
    <t>SOP070 - Soporte y Mantenimiento de aplicaciones de Operación (Ticketero/GOAPP/Calidad/NOC) - 2022</t>
  </si>
  <si>
    <t>SOP028 - Soporte Granja de Servidores + Soporte Granja  HW ISE Solar-2022</t>
  </si>
  <si>
    <t>EQUIPOS CISCO - 2022</t>
  </si>
  <si>
    <t>SOP087 - Mantenimiento / Upgrade Office Track - 2022</t>
  </si>
  <si>
    <t>Eventos COWS (Instalación y Desinstalación) - 2022</t>
  </si>
  <si>
    <t>TRIAL OPEN SOURCE TIP - 2022</t>
  </si>
  <si>
    <t>ENERGIA Y CLIMA - 2022</t>
  </si>
  <si>
    <t>Servicio de mantenimiento y reacción - F1 - 2022</t>
  </si>
  <si>
    <t>INFRAESTRUCTURA - 2022</t>
  </si>
  <si>
    <t>OTROS TRABAJOS DE MANT. CORRECTIVO - 2022</t>
  </si>
  <si>
    <t>Combustible - 2022</t>
  </si>
  <si>
    <t>Servicio para soporte Regulatorio - 2022</t>
  </si>
  <si>
    <t>SERV029 - Auditoria Externa SGSI- ISO27001- Hosting y Housing - 2022</t>
  </si>
  <si>
    <t>SERV035 - Servicio de Revisión de información registrada y documentación en la etapa de programación y post-ejecución de actividades Red Entel - 2022</t>
  </si>
  <si>
    <t>SERV010 - Servicio de Monitoreo de Eventos y Actividades Secundarias de la Red EnteL-2022</t>
  </si>
  <si>
    <t>SERV012 - Servicio de Gestión de O&amp;M - 2022</t>
  </si>
  <si>
    <t>Averías Lima_GPON_Hogar - 2023</t>
  </si>
  <si>
    <t>Desinstalaciones_ BAFI - 2023</t>
  </si>
  <si>
    <t>Averias_BAFI - 2023</t>
  </si>
  <si>
    <t>Postventa_BAFI - 2023</t>
  </si>
  <si>
    <t>Postes nuevos - 2023</t>
  </si>
  <si>
    <t>Optimizacion de espacio en torre - Reduccion OPEX</t>
  </si>
  <si>
    <t>Mejoras operativas Oracle - 2023</t>
  </si>
  <si>
    <t>Mediciones de señal de cumplimiento regulatorio - 2023</t>
  </si>
  <si>
    <t>Optimización RAN - 2023</t>
  </si>
  <si>
    <t>S&amp;M de Plataforma de Geolocalización y Planning - 2023</t>
  </si>
  <si>
    <t>SOP004 - Licencia software de predicción cobertura indoor - 2023</t>
  </si>
  <si>
    <t>SOP096 - TSS Soluciones Empresas - Macro &amp; Indoor (Survey de RF + TSS constructivo) - 2023</t>
  </si>
  <si>
    <t>Optimización RAN - Proactiva - 2023</t>
  </si>
  <si>
    <t>Ciberseguridad - 2023</t>
  </si>
  <si>
    <t>Servicio de Inspección de Almacenes - 2023</t>
  </si>
  <si>
    <t>Servicio de registro de inventario de FO  - 2023</t>
  </si>
  <si>
    <t>SOP020 -  Herramienta de supervisión online teams contratistas  - 2023</t>
  </si>
  <si>
    <t>SOP067 - Renovación Licencia Anual de BD - 2023</t>
  </si>
  <si>
    <t>Soporte a la operación administrativa redes - 2023</t>
  </si>
  <si>
    <t>Racks - 2023</t>
  </si>
  <si>
    <t>SOP070 - Soporte y Mantenimiento de aplicaciones de Operación - 2023</t>
  </si>
  <si>
    <t>Teléfono Satelital</t>
  </si>
  <si>
    <t>SOP028 - Soporte Granja de Servidores + SOP165 - Soporte Granja  HW ISE Solar</t>
  </si>
  <si>
    <t>Cableado, Entorchado de E1s, Fibra, UTP y reubicación de equipos - 2023</t>
  </si>
  <si>
    <t>Correcciones resultados Ethical Hacking - 2023</t>
  </si>
  <si>
    <t>Revisión facilities - 2023</t>
  </si>
  <si>
    <t>SOP094 - Mantenimiento MSOs - Sistemas electricos y auxiliares - 2023</t>
  </si>
  <si>
    <t>SOP111 - Servicio de Mantenimiento Isstar - Oneclick - 2023</t>
  </si>
  <si>
    <t>SOP135 - Actualizacion de las manchas historicas - 2023</t>
  </si>
  <si>
    <t>Eventos COWS (Instalacion y Desinstalacion) - 2023</t>
  </si>
  <si>
    <t>Servicio de mantenimiento y reacción - Telrad - 2023</t>
  </si>
  <si>
    <t>MANTENIMIENTO Y COMBUSTIBLE DE VEHICULOS - 2023</t>
  </si>
  <si>
    <t>Infraestructura MSOs/RSOs/STs - 2023</t>
  </si>
  <si>
    <t>Servicio de mantenimiento y reacción - PEXT - 2023</t>
  </si>
  <si>
    <t>ATENCIONES CORRECTIVAS FEN - 2023</t>
  </si>
  <si>
    <t>ENERGIA Y CLIMA - 2023</t>
  </si>
  <si>
    <t>Servicio de mantenimiento y reacción - F1 - 2023</t>
  </si>
  <si>
    <t>FEN 2 - 2023</t>
  </si>
  <si>
    <t>INFRAESTRUCTURA - 2023</t>
  </si>
  <si>
    <t>OTROS TRABAJOS DE MANT. CORRECTIVO - 2023</t>
  </si>
  <si>
    <t>TRABAJOS POR INSPECCION DE INDECI - 2023</t>
  </si>
  <si>
    <t>Regularizaciones en mantenimiento (Correctivos + backlog + prev)</t>
  </si>
  <si>
    <t>Correctivos RSOs</t>
  </si>
  <si>
    <t>Combustible - 2023</t>
  </si>
  <si>
    <t>Servicios especializados (outsourcing) - 2023</t>
  </si>
  <si>
    <t>Auditoria Interna SGSI - ISO27001 _ Hosting y Nube 2023 - 2023</t>
  </si>
  <si>
    <t>Certificaciones y entrenamientos del Equipo - 2023</t>
  </si>
  <si>
    <t>Inspecciones y Auditoría a Proveedores de la VP de Redes - 2023 - 2023</t>
  </si>
  <si>
    <t>Reubicación de FSU – RSO Trujillo - 2023</t>
  </si>
  <si>
    <t>SERV012 - Servicio de Gestión de O&amp;M - 2023</t>
  </si>
  <si>
    <t>Reubicaciones en franja (MW) - 2023</t>
  </si>
  <si>
    <t>Postes Nuevos - 2024</t>
  </si>
  <si>
    <t>Adecuaciones ALBA 2024 (cambio )</t>
  </si>
  <si>
    <t>Optimizacion de espacio en torre 2024 - Reduccion OPEX</t>
  </si>
  <si>
    <t>S&amp;M de Plataforma de Geolocalización y Planning - 2024</t>
  </si>
  <si>
    <t>SOP003 - NTA - 2024</t>
  </si>
  <si>
    <t>Mediciones de señal de cumplimiento regulatorio - 2024</t>
  </si>
  <si>
    <t>SOP096 - TSS Soluciones Empresas - Macro &amp; Indoor (Survey de RF + TSS constructivo) - 2024</t>
  </si>
  <si>
    <t>Optimización RAN - Proactiva - 2024</t>
  </si>
  <si>
    <t>SOP004 - Licencia software de predicción cobertura indoor - 2024</t>
  </si>
  <si>
    <t>Migración NAP - Diseño de PEXT - Servicios - 2024</t>
  </si>
  <si>
    <t>SOP016 - LACNIC Entel Perú - 2024</t>
  </si>
  <si>
    <t>LACNIC - Direcnet - 2024</t>
  </si>
  <si>
    <t>Servicio de Inspección de Almacenes - 2024</t>
  </si>
  <si>
    <t>SOP152 - Process Management System- Soporte y mantenimiento - 2024</t>
  </si>
  <si>
    <t>Servicio de registro de inventario de FO  - 2024</t>
  </si>
  <si>
    <t>SOP140 - Gestión de herramienta y dashboard energía - 2024</t>
  </si>
  <si>
    <t>Migración NAP - Implementar PEXT - 2024</t>
  </si>
  <si>
    <t>Servicios de Consultoría de Energía, Clima y Obras Eléctricas - 2024</t>
  </si>
  <si>
    <t>Soporte a la operación administrativa redes - 2024</t>
  </si>
  <si>
    <t>SOP067 - Renovación Licencia Anual de BD - 2024</t>
  </si>
  <si>
    <t>Soporte Actividades de CALIDAD - 2024</t>
  </si>
  <si>
    <t>WePlan 2024</t>
  </si>
  <si>
    <t>Enlaces de contingencia FEN 2 - 2024</t>
  </si>
  <si>
    <t>SOP083 - Geolocalización LBS - 2024</t>
  </si>
  <si>
    <t>Revisión Facilities - 2024</t>
  </si>
  <si>
    <t>SOP040 - Soporte (Reactivo, SPMS, Proactivo, Proactivo Reactivo IP SWAP, SPMS IP SWAP, Legacy) - 2024</t>
  </si>
  <si>
    <t>SOP066 - Lic de Sist Operativo Redhat+SOP161+SOP155+SOP162 - 2024</t>
  </si>
  <si>
    <t>SOP161 - Licencias y Soporte Ansible Automatización de Credenciales + Soporte Ansible Health Check - 2024</t>
  </si>
  <si>
    <t>SOP162 - Licencias y Soporte Satellite - 2024</t>
  </si>
  <si>
    <t>Servicio de Soporte 5G RAN - 2024</t>
  </si>
  <si>
    <t>Soporte ARBOR - 2024</t>
  </si>
  <si>
    <t>SOP041 - Soporte de Plataforma Smartcare - 2024</t>
  </si>
  <si>
    <t>SOP058 - Servicio de Soporte - DWDM - 2024</t>
  </si>
  <si>
    <t>SOP036 - Hosting, soporte y mantenimiento proactivo de plataformas Gemalto - Soporte OTA (SOP036) + SOP037 - Soporte Plataforma Regulatoria de Calidad - 2024</t>
  </si>
  <si>
    <t>Servicio de Soporte 5G CORE - 2024</t>
  </si>
  <si>
    <t>SOP039 - Soporte Servidores HP - 2024</t>
  </si>
  <si>
    <t>SOP073 - Soporte &amp; mantenimiento IPN + GLR + SPARX - 2024</t>
  </si>
  <si>
    <t>DARKTRACE - 2024</t>
  </si>
  <si>
    <t>Servicio de Soporte GPON - 2024</t>
  </si>
  <si>
    <t>VPN MFA - 2024</t>
  </si>
  <si>
    <t>SOP070 - Soporte y Mantenimiento de aplicaciones de Operación - 2024</t>
  </si>
  <si>
    <t>Servicio de Soporte Plataforma PKI en EOS - 2024</t>
  </si>
  <si>
    <t>Soporte de Automatizaciones - 2024</t>
  </si>
  <si>
    <t>SOP051 - Soporte DMS - 2024</t>
  </si>
  <si>
    <t>SOP118 - Renovacion anual de Licencia GSMA - 2024</t>
  </si>
  <si>
    <t>Servicio de Soporte Sincronismo Microchip - 2024</t>
  </si>
  <si>
    <t>Servicio de Soporte AAA - 2024</t>
  </si>
  <si>
    <t>SOP060 - Soporte Servidores Bridge,Switches+Servidores DWDM (SOP039) - 2024</t>
  </si>
  <si>
    <t>Soporte Plataforma eSIM - 2024</t>
  </si>
  <si>
    <t>SOP038 - Mediador de Celdas  - Soporte middleware + Geolocalización Middleware - 2024</t>
  </si>
  <si>
    <t>SOP080 - Soporte software BackUp Veeam + SOP158 - Licencias BackUp - 2024</t>
  </si>
  <si>
    <t>SOP081 - Subscripción de Vmware - Subscripción de Vmware Granja Datacomm - 2024</t>
  </si>
  <si>
    <t>SOP163 - Soporte de Plataformas VAS: SMCS - 2024</t>
  </si>
  <si>
    <t>SOP053 - Soporte de Plataformas VAS: SMCS, Voicemail, WAP GW, USSD - 2024</t>
  </si>
  <si>
    <t>Repuestos - Consumibles - 2024</t>
  </si>
  <si>
    <t>SOP026 - Plataforma antispam y smtp relay para servicios VAS y gestores (barracuda) - 2024</t>
  </si>
  <si>
    <t>SOP045 - Balanceador Soporte DMS - 2024</t>
  </si>
  <si>
    <t>SOP116 - Soporte de Plataforma White NMS - 2024</t>
  </si>
  <si>
    <t>Desmontaje IDEN - MSO - 2024</t>
  </si>
  <si>
    <t>SOP028 - Soporte Granja de Servidores + SOP165 - Soporte Granja  HW ISE Solar - 2024</t>
  </si>
  <si>
    <t>Hosting proyecto Entitlement  - 2024</t>
  </si>
  <si>
    <t>SOP071 - Renovación de licencias Solawinds  NPM/NTM/NCM/KIWI/NTA - 2024</t>
  </si>
  <si>
    <t>Cambio de partes - 2024</t>
  </si>
  <si>
    <t>Desmontaje de equipos, retiro de cableados - 2024</t>
  </si>
  <si>
    <t>SOP183 - Servicio Atención de Primer Nivel Técnico de Troubletickets - 2024</t>
  </si>
  <si>
    <t>MFA - 2024</t>
  </si>
  <si>
    <t>SOP122 - Soporte HW + SW + Licencias de Plataforma ISE - 2024</t>
  </si>
  <si>
    <t>SOP029 - Soporte Tecnico  IPS y Defense Center SMARTNET - 2024</t>
  </si>
  <si>
    <t>SOP061 - Licencia de Speedtest - 2024</t>
  </si>
  <si>
    <t>Servicio de Soporte IAS en la nube - Splunk y NETBOT - 2024</t>
  </si>
  <si>
    <t>SOP156 - Soporte GitLab - 2024</t>
  </si>
  <si>
    <t>OpenLDAP - 2024</t>
  </si>
  <si>
    <t>SOP027 - Soporte al servicio del Conference Bridge - Soporte de Mantenimiento - 2024</t>
  </si>
  <si>
    <t>SOP072 - Mantenimiento y Soporte Local de la plataforma Solarwinds - 2024</t>
  </si>
  <si>
    <t>SOP063 - Servicio de Mantenimiento Anual para Videowall 11x2 - 2024</t>
  </si>
  <si>
    <t>Cableado, Entorchado de E1s, Fibra, UTP y reubicación de equipos - 2024</t>
  </si>
  <si>
    <t>Servicio de Soporte IAS en la nube - SmartWifi - 2024</t>
  </si>
  <si>
    <t>Soporte Asistente virtual de voz - 2024</t>
  </si>
  <si>
    <t>Soporte de  HW Servidor MEM - 2024</t>
  </si>
  <si>
    <t>Soporte API Llamadas - 2024</t>
  </si>
  <si>
    <t>SOP031 - Certificados digitales - 2024</t>
  </si>
  <si>
    <t>Plataforma Entlement Server  - Certificado de seguridad SSL - 2024</t>
  </si>
  <si>
    <t>Servicio de Soporte Switches CDN Nuevo - 2024</t>
  </si>
  <si>
    <t>Ciberseguridad Redes - 2024</t>
  </si>
  <si>
    <t>Assessment Iden - 2024</t>
  </si>
  <si>
    <t>SOP046 - Gateway de Mensajería y mensajería Corporativa - 2024</t>
  </si>
  <si>
    <t>Soporte de Equipos Fuera de Banda ZPE - 2024</t>
  </si>
  <si>
    <t>SOP167 - Mantenimiento Agregadores - 2024</t>
  </si>
  <si>
    <t>Soporte Radwin - 2024</t>
  </si>
  <si>
    <t>Energía y Clima MSOs/RSOs/STs - 2024</t>
  </si>
  <si>
    <t>SOP094 - Mantenimiento MSOs - Sistemas electricos y auxiliares - 2024</t>
  </si>
  <si>
    <t>Optimización RAN- Reactiva - 2024</t>
  </si>
  <si>
    <t>SOP087 - Mantenimiento / Upgrade Office Track - 2024</t>
  </si>
  <si>
    <t>SOP170 - Soporte del Sistema de monitoreo de Fibra Óptica - ONMSI - 2024</t>
  </si>
  <si>
    <t>SOP089 - Mantenimiento Preventivo y Correctivo de Sistemas Contraincendio en MSOs, RSOs y STs - 2024</t>
  </si>
  <si>
    <t>SOP111 - Servicio de Mantenimiento Isstar - Oneclick - 2024</t>
  </si>
  <si>
    <t>SOP088 - Mantenieminto / Upgrade Nemo - 2024</t>
  </si>
  <si>
    <t>SOP090 - Mantenimiento /  Upgrade de Windcatcher - 2024</t>
  </si>
  <si>
    <t>SOP150 - Mantenimiento de hw de DT (calibración de scanner y reemplazo de accesorios) - 2024</t>
  </si>
  <si>
    <t>Administracion Gestor Energia CastleRock - 2024</t>
  </si>
  <si>
    <t>Subscripción licencias Autocad (recepcion e inventario PEXT) - 2024</t>
  </si>
  <si>
    <t>Servicio Soporte Dedicado 24/7 - netBOT - 2024</t>
  </si>
  <si>
    <t>Licencia RPA - Automation Anyware - 2024</t>
  </si>
  <si>
    <t>Correctivos adicionales MSO Miraflores - 2024</t>
  </si>
  <si>
    <t>Correctivos adicionales MSO San Borja - 2024</t>
  </si>
  <si>
    <t>Regularización PY 2023 - Core - Virtualización</t>
  </si>
  <si>
    <t>Mantenimiento Preventivo y Correctivo de Celdas de Media Tensión y Transformadores en Infraestructura Crítica - 2024</t>
  </si>
  <si>
    <t>Mantenimiento Preventivo y Correctivo de Equipos de Climatización en Infraestructura Crítica - 2024</t>
  </si>
  <si>
    <t>Mantenimiento Preventivo y Correctivo del SwitchGear MSO San Borja - 2024</t>
  </si>
  <si>
    <t>Migración de enlace arrendado Entel-Internexa - 2024</t>
  </si>
  <si>
    <t>Eventos COWS (Instalación y Desinstalación) - 2024</t>
  </si>
  <si>
    <t>Liberación de interferencias - 2024</t>
  </si>
  <si>
    <t>TRABAJOS CORRECTIVOS MICROONDAS - 2024 (CORE)</t>
  </si>
  <si>
    <t>Capacitación O&amp;M Optimización 5G - 2024</t>
  </si>
  <si>
    <t>Regularización PY 2023 - Sitios - Otros</t>
  </si>
  <si>
    <t>ENERGIA Y CLIMA LIMA - 2024</t>
  </si>
  <si>
    <t>MANTENIMIENTOS CORRECTIVOS PEXT LIMA - 2024</t>
  </si>
  <si>
    <t>INFRAESTRUCTURA LIMA - 2024</t>
  </si>
  <si>
    <t>Mantenimiento Preventivo de líneas de MT y BT (limpieza de lineas, ferretería, transformadores, etc) - 2024</t>
  </si>
  <si>
    <t>Servicio de mantenimiento y reacción LIMA - Telrad - 2024</t>
  </si>
  <si>
    <t>Servicio de mantenimiento y reacción LIMA - F1 - 2024</t>
  </si>
  <si>
    <t>Servicio de mantenimiento y reacción LIMA - PEXT - 2024</t>
  </si>
  <si>
    <t>ATENCIONES CORRECTIVAS FEN - 2024</t>
  </si>
  <si>
    <t>Vigilancia - 2024</t>
  </si>
  <si>
    <t>OTROS TRABAJOS DE MANT. CORRECTIVO LIMA - 2024</t>
  </si>
  <si>
    <t>MANTENIMIENTO Y COMBUSTIBLE DE VEHICULOS LIMA - 2024</t>
  </si>
  <si>
    <t>Ampliación de potencia suministros - 2024</t>
  </si>
  <si>
    <t>CHIPS BITEL - 2024</t>
  </si>
  <si>
    <t>Infraestructura MSOs/RSOs/STs - 2024</t>
  </si>
  <si>
    <t>Servicio de mantenimiento y reacción REGIONES - Telrad - 2024</t>
  </si>
  <si>
    <t>Servicio de mantenimiento y reacción REGIONES - F1 - 2024</t>
  </si>
  <si>
    <t>ENERGIA Y CLIMA REGIONES - 2024</t>
  </si>
  <si>
    <t>Servicio de mantenimiento y reacción REGIONES - PEXT - 2024</t>
  </si>
  <si>
    <t>INFRAESTRUCTURA REGIONES - 2024</t>
  </si>
  <si>
    <t>OTROS TRABAJOS DE MANT. CORRECTIVO REGIONES - 2024</t>
  </si>
  <si>
    <t>MANTENIMIENTOS CORRECTIVOS PEXT REGIONES - 2024</t>
  </si>
  <si>
    <t>MANTENIMIENTO Y COMBUSTIBLE DE VEHICULOS REGIONES - 2024</t>
  </si>
  <si>
    <t>Servicio de mantenimiento y reacción LIMA - Huawei</t>
  </si>
  <si>
    <t>Trabajo de emergencia robos – Reacción Lima - 2024</t>
  </si>
  <si>
    <t>Trabajo de emergencia robos – Reacción Provincias - 2024</t>
  </si>
  <si>
    <t>Regularización PY 2023 - Sitios - Planta Externa</t>
  </si>
  <si>
    <t>Combustible LIMA - 2024</t>
  </si>
  <si>
    <t>Combustible REGIONES - 2024</t>
  </si>
  <si>
    <t>Combustible MSOs - 2024</t>
  </si>
  <si>
    <t>Video VP Redes - 2024</t>
  </si>
  <si>
    <t>Auditoria Externa Sistema de Gestión de Seguridad de la Información - ISO27001 - 2024</t>
  </si>
  <si>
    <t>Auditoría Interna y Externa Sistema de Gestión de Calidad - ISO 9001 - 2024</t>
  </si>
  <si>
    <t>Inspecciones y Auditoría a Proveedores de la VP de Redes - 2024</t>
  </si>
  <si>
    <t>Auditoria Interna y Externa Sistema de Gestión Ambiental - ISO 14001 - 2024</t>
  </si>
  <si>
    <t>Migración de la norma ISO 27001: 2022 Sistema de Gestión de Seguridad de la Información (actualización) - 2024</t>
  </si>
  <si>
    <t>Sensibilización del personal sobre normas ISO - 2024</t>
  </si>
  <si>
    <t>Soporte para liberación de interferencias - 2024</t>
  </si>
  <si>
    <t>Outsourcing certificaciones ISO - 2024</t>
  </si>
  <si>
    <t>Implementación del Sistema de Gestión de Seguridad y Salud en el Trabajo ISO 45001 - 2024</t>
  </si>
  <si>
    <t>Servicio para soporte Regulatorio - 2024</t>
  </si>
  <si>
    <t>SERV035 - Servicio de Revisión de información registrada y documentación en la etapa de programación y post-ejecución de actividades Red Entel - 2024</t>
  </si>
  <si>
    <t>Servicio de soporte Gestión de Iniciativas - 2024</t>
  </si>
  <si>
    <t>Servicio de soporte para compras Redes - 2024</t>
  </si>
  <si>
    <t>Capacitación respuesta a incendios - 2024</t>
  </si>
  <si>
    <t>SERV012 - Servicio de Gestión de O&amp;M - 2024</t>
  </si>
  <si>
    <t>Desmontaje Equipos RF y TX - 2024</t>
  </si>
  <si>
    <t>PERSONAS HOGAR - INSTALACIONES BAFI</t>
  </si>
  <si>
    <t>Adecuaciones ALBA</t>
  </si>
  <si>
    <t>Combustibles y Lubricantes</t>
  </si>
  <si>
    <t>Inspecciones y Auditoría a Proveedores de la VP de Redes</t>
  </si>
  <si>
    <t>PROYECTOS ESTRATEGICOS TDE 2024</t>
  </si>
  <si>
    <t>5G-SA-1 CONNECTIVITY &amp; CHARGING ENABLEMENT</t>
  </si>
  <si>
    <t>CMS - CONTENT MANAGEMENT SYSTEM B2B</t>
  </si>
  <si>
    <t>SOLUCION DE NETWORKING &amp;SEGURIDAD GIGAMON</t>
  </si>
  <si>
    <t>SOLUCIÓN DE NETWORKING &amp;SEGURIDAD GIGAMON</t>
  </si>
  <si>
    <t>FINANCIAMIENTO RETAIL</t>
  </si>
  <si>
    <t>GAPS Y MEJORAS PORTGATEWAY 2024</t>
  </si>
  <si>
    <t>MODELO DE FINANCIAMIENTO 2024</t>
  </si>
  <si>
    <t>MIGRACIÓN API STANDARD DE SOVOS</t>
  </si>
  <si>
    <t>PORTABILIDAD MULTILÍNEA EN ONETOUCH</t>
  </si>
  <si>
    <t>PROYECTO GENESYS</t>
  </si>
  <si>
    <t>GESTOR IP CLOCK 2025</t>
  </si>
  <si>
    <t>MIGRACION RENTADOS PRONATEL 2025</t>
  </si>
  <si>
    <t>PROYECTO SOCIEDAD MINERA CORONA 2024</t>
  </si>
  <si>
    <t>SINCRONISMO DE RED FASE 1 2025</t>
  </si>
  <si>
    <t>AMPLIACION SMARTCARE 2023</t>
  </si>
  <si>
    <t>RED FIJA MULTISERVICIOS 2024</t>
  </si>
  <si>
    <t>Todos</t>
  </si>
  <si>
    <t>Gerencia</t>
  </si>
  <si>
    <t>Tipo</t>
  </si>
  <si>
    <t>Importe AC</t>
  </si>
  <si>
    <t>GERENCIA DE CONSTRUCCION E INFRAESTRUCTURA DE RED</t>
  </si>
  <si>
    <t>GERENCIA DE INGENIERIA DE REDES CORE Y SERVICIOS</t>
  </si>
  <si>
    <t>GERENCIA DE INGENIERIA DE RED DE ACCESO</t>
  </si>
  <si>
    <t>OPERACIONES REDES CLIENTES</t>
  </si>
  <si>
    <t>GERENCIA DE O&amp;M DE SITIOS Y ACCESOS DE RED</t>
  </si>
  <si>
    <t>GERENCIA DE O&amp;M REDES CORE TRANSPORTE Y PLATAFORMAS</t>
  </si>
  <si>
    <t>GERENCIA DE LOGISTICA</t>
  </si>
  <si>
    <t>Pendiente</t>
  </si>
  <si>
    <t>SUBGERENCIA DE CALIDAD DE RED</t>
  </si>
  <si>
    <t>O&amp;M REDES CORE TRANSPORTE, PLATAFORMAS Y NOC</t>
  </si>
  <si>
    <t>Requisitor</t>
  </si>
  <si>
    <t>GERENCIA DE OPERACIONES DIGITALES</t>
  </si>
  <si>
    <t>PRODUCT MANAGER REDES</t>
  </si>
  <si>
    <t>VICEPRESIDENCIA DE REDES</t>
  </si>
  <si>
    <t>O&amp;M DE SITIOS Y ACCESOS DE RED</t>
  </si>
  <si>
    <t>Proyecto Nazca – CIO</t>
  </si>
  <si>
    <t>JEFATURA DE CONFIGURACION</t>
  </si>
  <si>
    <t>Proyecto Nazca – CIO II</t>
  </si>
  <si>
    <t>GERENCIA DE OPERACIONES B2C</t>
  </si>
  <si>
    <t>GERENCIA DE OPERACIONES B2B GPON</t>
  </si>
  <si>
    <t>GERENCIA DE OPERACIONES B2B</t>
  </si>
  <si>
    <t>Limpieza Técnica Salas Redes y Data Center en MSOs - 2024</t>
  </si>
  <si>
    <t>AVERIAS FO ULTIMA MILLA</t>
  </si>
  <si>
    <t>MODERNIZACIÓN BI/DWH</t>
  </si>
  <si>
    <t>PLATAFORMA -VISIBILIDAD ACTIVA TRÁFICO DE DATOS 2024</t>
  </si>
  <si>
    <t>Servicio de Mediciones de RNI - 2024</t>
  </si>
  <si>
    <t>RECUPERACION DE AUTONOMIA EN SITIOS - APEC LIMA 2024</t>
  </si>
  <si>
    <t>IMPLEMENTACION ASSESSMENT BSCS-PE</t>
  </si>
  <si>
    <t>CELULA AUTOMATIZACIÓN IA BOT IVR 2024</t>
  </si>
  <si>
    <t>CAPITALIZABLES MENORES - PLANTA EXTERNA 2024 PARTE 2</t>
  </si>
  <si>
    <t>PROYECTO PISCO 2024</t>
  </si>
  <si>
    <t>RANCO_APEC 2024</t>
  </si>
  <si>
    <t>MSO SAN BORJA - SCI SOTANO 2 2024</t>
  </si>
  <si>
    <t>NAZCA - AMPLIACIÓN DE LABORATORIO 2024</t>
  </si>
  <si>
    <t>MODIFICACION PORTABILIDAD NUMERICA</t>
  </si>
  <si>
    <t>ANALISIS DE ENLACES RENTADOS - PRONATEL/HUARAL 2024</t>
  </si>
  <si>
    <t>Revisar</t>
  </si>
  <si>
    <t>LEY 31595 – Retiro de Cable de FO en Desuso y/o mal estado</t>
  </si>
  <si>
    <t>REFORZAMIENTO Y MANTENIMIENTOS CRITICOS PARTE 3 2024</t>
  </si>
  <si>
    <t>TUPS / REGULATORIO 2024</t>
  </si>
  <si>
    <t>AMPLIACION Y REORDENAMIENTO DEL FRONTHAUL 2024</t>
  </si>
  <si>
    <t>DESINSTALACIONES FO ULTIMA MILLA NAZCA</t>
  </si>
  <si>
    <t>MSO SAN BORJA – AIRE ACONDICIONADO 2024</t>
  </si>
  <si>
    <t>SPACE X - SEDE: HUACHO 2024</t>
  </si>
  <si>
    <t>REUBICACION PEXT SOJO SULLANA 2024</t>
  </si>
  <si>
    <t>RANCO TDD 2025</t>
  </si>
  <si>
    <t>RANCO FDD 2025</t>
  </si>
  <si>
    <t>POST VENTA RADWIN EMPRESAS</t>
  </si>
  <si>
    <t>Migración NAP - IP/Datacom - 2024</t>
  </si>
  <si>
    <t>COBERTURA INDOOR APT - FISCALIA / PODER JUDICIAL 2024</t>
  </si>
  <si>
    <t>CASO Rep_Southern 2024</t>
  </si>
  <si>
    <t>RANCO 2024  PARTE 2</t>
  </si>
  <si>
    <t>CRA MOVIL 2025</t>
  </si>
  <si>
    <t>DESPLIEGUE INDOOR CLIENTES EMPRESAS 2024 DROKASA</t>
  </si>
  <si>
    <t>COVERAGE - 2024</t>
  </si>
  <si>
    <t>RECUPERACION DE AUTONOMIA EN SITIOS - VIP LIMA_ REGIONES CLUSTER 2024</t>
  </si>
  <si>
    <t>COBERTURA INDOOR APT AEROPUERTO LAP</t>
  </si>
  <si>
    <t>DESPLIEGUE INDOOR CLIENTES EMPRESAS DP WORLD 2024</t>
  </si>
  <si>
    <t>Alquiler de postería Entel B2B - 2024</t>
  </si>
  <si>
    <t>Renovación de Soporte Fortinet - 2025</t>
  </si>
  <si>
    <t>SOP061 - Licencia de Speedtest - 2025</t>
  </si>
  <si>
    <t>Soporte API Llamadas - 2025</t>
  </si>
  <si>
    <t>Cambio de partes - 2025</t>
  </si>
  <si>
    <t>SOP111 - Servicio de Mantenimiento Isstar - Oneclick - 2025</t>
  </si>
  <si>
    <t>SOP066 - Lic de Sist Operativo Redhat+SOP161+SOP155+SOP162 - 2025</t>
  </si>
  <si>
    <t>SOP058 - Servicio de Soporte - DWDM - 2025</t>
  </si>
  <si>
    <t>SOP162 - Licencias y Soporte Satellite - 2025</t>
  </si>
  <si>
    <t>Consolidación Controladores 2G y 3G 2025</t>
  </si>
  <si>
    <t>DESPLIEGUE INDOOR PUBLICO 2025</t>
  </si>
  <si>
    <t>AMPLIACION DE CAPACIDAD DEL IMS 2025</t>
  </si>
  <si>
    <t>VULNERABILIDAD DE RED DE PLANTA EXTERNA 2025</t>
  </si>
  <si>
    <t>REGULATORIO CVM 2025</t>
  </si>
  <si>
    <t>Nuevos sitios 5G Core y Expansion 2025</t>
  </si>
  <si>
    <t>COBERTURA 2025</t>
  </si>
  <si>
    <t>SECTORES REACTIVOS 2025</t>
  </si>
  <si>
    <t>ROLLOUT 2025</t>
  </si>
  <si>
    <t>ACTIVACION 1900 2025</t>
  </si>
  <si>
    <t>SOP064 - Soporte Storage Pure - 2025</t>
  </si>
  <si>
    <t>Ampliacion de Core Voz fijo (Personas) 2025</t>
  </si>
  <si>
    <t>Servicio de Soporte AAA - 2025</t>
  </si>
  <si>
    <t>Ampliacion de Capacidad UPCF 2025</t>
  </si>
  <si>
    <t>Evolucion y Expansion de UDM 2025</t>
  </si>
  <si>
    <t>Ampliacion de capacidad del SBC 2025</t>
  </si>
  <si>
    <t>Ampliacion de capacidad del EIR 2025</t>
  </si>
  <si>
    <t>Implementacion solucion Service Assurance para Red Movil en Provincia 1 2025</t>
  </si>
  <si>
    <t>Evolucion y Expansion de USC 2025</t>
  </si>
  <si>
    <t>Servicio de Soporte 5G RAN - 2025</t>
  </si>
  <si>
    <t>Modernizacion Core Voz Legacy 2025</t>
  </si>
  <si>
    <t>5G CORE SOFTWARE FEE 2025</t>
  </si>
  <si>
    <t>Renovacion tecnologica PE-CORE 2025</t>
  </si>
  <si>
    <t>Ampliacion CORE-IP 2025</t>
  </si>
  <si>
    <t>Evolucion MPLS a SRv6 (5G Slicing) 2025</t>
  </si>
  <si>
    <t>Networking Nazca Expansion 2025</t>
  </si>
  <si>
    <t>Implementacion del SVC 2025</t>
  </si>
  <si>
    <t>RECUPERACION DE AUTONOMIA DE SITIOS POR ROBO DE BANCO DE BATERIAS 2025</t>
  </si>
  <si>
    <t>Ampliacion enlaces de Agregacion Core 2025</t>
  </si>
  <si>
    <t>CGNAT Movil 2025</t>
  </si>
  <si>
    <t>Modernizacion Red Datacenters a solucion IP Fabric 2025</t>
  </si>
  <si>
    <t>Ampliaciones solucion Service Assurance para Red Movil en Lima (incluye Corporativo) 2025</t>
  </si>
  <si>
    <t>Ampliacion capacidad Service Assurance para Red Movil en SEQ 2025</t>
  </si>
  <si>
    <t>LICENCIAS DE CAPACIDAD 4G Y 5G 2025</t>
  </si>
  <si>
    <t>CRECIMIENTO DE RED AUTOMATICO CRA FIJA 2025</t>
  </si>
  <si>
    <t>Capacidad PE-CORE a DC 5G 2025</t>
  </si>
  <si>
    <t>Expansion DWDM Red CORE IP/MPLS &amp; ISP 2025</t>
  </si>
  <si>
    <t>SOFTWARE FEE 2025</t>
  </si>
  <si>
    <t>SOFTWARE FEE 5G 2025</t>
  </si>
  <si>
    <t>Ampliacion troncal Core MPLS 2025</t>
  </si>
  <si>
    <t>Renovacion tecnologica PE-RAN 2025 + Extra_AGG</t>
  </si>
  <si>
    <t>Modernizacion 5G Core para APN Corporativas 2025</t>
  </si>
  <si>
    <t>SWITCH ACCESO 2025</t>
  </si>
  <si>
    <t>Ampliacion y consolidacion modelo de Solucion de Backup 2025</t>
  </si>
  <si>
    <t>CAPITALIZABLES MENORES - REPUESTOS DE ENERGIA Y CLIMA 2025</t>
  </si>
  <si>
    <t>Expansion DWDM Red CORE Agregacion Provincia 2025</t>
  </si>
  <si>
    <t>Servicio de Soporte CS SYNLOCK T8010  - 2025</t>
  </si>
  <si>
    <t>Servicio de Soporte Plataforma PKI en EOS - 2025</t>
  </si>
  <si>
    <t>Servicio de Soporte Switches CDN Nuevo - 2025</t>
  </si>
  <si>
    <t>Capacitación de Operación y Mantenimiento - 2025 (Nuevo)</t>
  </si>
  <si>
    <t>Servicio de Soporte IAS en la nube - Splunk - 2025</t>
  </si>
  <si>
    <t>Servicio de Soporte IAS en la nube - SmartWifi - 2025</t>
  </si>
  <si>
    <t>IAS For Op Analitica Project - 2025 (Nuevo)</t>
  </si>
  <si>
    <t>Servicio de Soporte 5G CORE - 2025</t>
  </si>
  <si>
    <t>Servicio de Soporte IAS en la nube - Backup Red Telco Entel - 2025</t>
  </si>
  <si>
    <t>Servicios en AUTIN:  integración de  SMARTCARE y 10 gestores adicionales - 2025</t>
  </si>
  <si>
    <t>Servicios en AUTIN: Man-Day Developing for Autin - 2025</t>
  </si>
  <si>
    <t>Servicio de Soporte GPON - 2025</t>
  </si>
  <si>
    <t>Servicio de Soporte IAS en la Nube NETBOT - 2025</t>
  </si>
  <si>
    <t>Learning Services - SRv6 - 2025</t>
  </si>
  <si>
    <t>SOP041 - Soporte de Plataforma Smartcare - 2025</t>
  </si>
  <si>
    <t>Renovacion de DNS 2025</t>
  </si>
  <si>
    <t>Migracion Rentados PRONATEL 2025</t>
  </si>
  <si>
    <t>SOP003 - NTA - 2025</t>
  </si>
  <si>
    <t>SOP040 - Soporte (Reactivo, SPMS, Proactivo, Proactivo Reactivo IP SWAP, SPMS IP SWAP, Legacy) - 2025</t>
  </si>
  <si>
    <t>SOP069 - Renovación soporte PL-SQL - 2025</t>
  </si>
  <si>
    <t>Soporte de Automatizaciones - 2025</t>
  </si>
  <si>
    <t>SOP051 - Soporte DMS - 2025</t>
  </si>
  <si>
    <t>SOP116 - Soporte de Plataforma White NMS - 2025</t>
  </si>
  <si>
    <t>Soporte Plataforma eSIM - 2025</t>
  </si>
  <si>
    <t>SOP045 - Balanceador Soporte DMS - 2025</t>
  </si>
  <si>
    <t>SOP072 - Mantenimiento y Soporte Local de la plataforma Solarwinds - 2025</t>
  </si>
  <si>
    <t>SOP083 - Geolocalización LBS - 2025</t>
  </si>
  <si>
    <t>VPN GLOBAL PROTECT PALO ALTO - 2025</t>
  </si>
  <si>
    <t>Servicio de Soporte DNS cache - 2025</t>
  </si>
  <si>
    <t>Servicio de Soporte Sincronismo Microchip - 2025</t>
  </si>
  <si>
    <t>SOP053 - Soporte de Plataformas VAS: SMCS, Voicemail, WAP GW, USSD - 2025</t>
  </si>
  <si>
    <t>SOP071 - Renovación de licencias Solawinds NPM/NTM/NCM/KIWI/NTA - 2025</t>
  </si>
  <si>
    <t>Servicio de Soporte Plataforma SpeedTest (QoE) - 2025</t>
  </si>
  <si>
    <t>SOP036 - Hosting, soporte y mantenimiento proactivo de plataformas Gemalto - Soporte OTA (SOP036) + SOP037 - Soporte Plataforma Regulatoria de Calidad - 2025</t>
  </si>
  <si>
    <t>AMPLIACION Y CONSOLIDACION DE STORAGE 2025</t>
  </si>
  <si>
    <t>SOP029 - Soporte Tecnico IPS y Defense Center SMARTNET - 2025</t>
  </si>
  <si>
    <t>Energía y Clima MSOs/RSOs/STs - 2025</t>
  </si>
  <si>
    <t>SOP039 - Soporte HW Arieso (SOP039) - 2025</t>
  </si>
  <si>
    <t>Hosting proyecto Entitlement - 2025</t>
  </si>
  <si>
    <t>SOP038 - Mediador de Celdas - Soporte middleware + Geolocalización Middleware - 2025</t>
  </si>
  <si>
    <t>Infraestructura MSOs/RSOs/STs - 2025</t>
  </si>
  <si>
    <t>REGULACION 2025</t>
  </si>
  <si>
    <t>Mantenimiento Preventivo y Correctivo de Equipos de Climatización en Infraestructura Crítica - 2025</t>
  </si>
  <si>
    <t>SOP080 - Soporte software BackUp Veeam + SOP158 - Licencias BackUp - 2025</t>
  </si>
  <si>
    <t>SOP070 - Soporte y Mantenimiento de aplicaciones de Operación - 2025</t>
  </si>
  <si>
    <t>SOP027 - Soporte al servicio del Conference Bridge - Soporte de Mantenimiento - 2025</t>
  </si>
  <si>
    <t>Cableado, Entorchado de E1s, Fibra, UTP y reubicación de equipos - 2025</t>
  </si>
  <si>
    <t>Soporte Asistente virtual de voz - 2025</t>
  </si>
  <si>
    <t>SOP067 - Renovación Licencia Anual de BD - 2025</t>
  </si>
  <si>
    <t>SOP161 - Licencias y Soporte Ansible Automatización de Credenciales + Soporte Ansible Health Check - 2025</t>
  </si>
  <si>
    <t>DESPLIEGUE INDOOR CLIENTES EMPRESA 2025</t>
  </si>
  <si>
    <t>COMPANIA DE MINAS BUENAVENTURA 2025</t>
  </si>
  <si>
    <t>Soporte Actividades de CALIDAD - 2025</t>
  </si>
  <si>
    <t>INFRAESTRUCTURA REGIONES - 2025</t>
  </si>
  <si>
    <t>Mejoras Operativas OyM Acceso - 2025</t>
  </si>
  <si>
    <t>Outsourcing certificaciones ISO - 2025</t>
  </si>
  <si>
    <t>SERV035 - Servicio de Revisión de información registrada y documentación en la etapa de programación y post-ejecución de actividades Red Entel - 2025</t>
  </si>
  <si>
    <t>Servicio de soporte Gestión de Iniciativas - 2025</t>
  </si>
  <si>
    <t>Servicio para soporte Regulatorio - 2025</t>
  </si>
  <si>
    <t>Servicio para soporte Regulatorio FIJA - 2025</t>
  </si>
  <si>
    <t>SERV012 - Servicio de Gestión de O&amp;M - 2025</t>
  </si>
  <si>
    <t>MANTENIMIENTOS CORRECTIVOS PEXT REGIONES - 2025</t>
  </si>
  <si>
    <t>SOP073 - Soporte &amp; mantenimiento IPN + GLR + SPARX - 2025</t>
  </si>
  <si>
    <t>Provisión Real</t>
  </si>
  <si>
    <t>OP00134- Desinstalaciones Radio Enlace - 2025</t>
  </si>
  <si>
    <t>OP00157 - Desinstalaciones FO Ultima Milla - 2025</t>
  </si>
  <si>
    <t>OP00896- Desinstalaciones GPON - B2B - 2025</t>
  </si>
  <si>
    <t>OP00426- Averías Radio Enlace  - 2025</t>
  </si>
  <si>
    <t>Materiales para averias Empresas - 2025</t>
  </si>
  <si>
    <t>OP00562- Post Venta Radio Enlace - 2025</t>
  </si>
  <si>
    <t>Averías GPON B2B - 2025</t>
  </si>
  <si>
    <t>OP00431- Averías FO Última Milla - 2025</t>
  </si>
  <si>
    <t>Remozado de equipos - 2025</t>
  </si>
  <si>
    <t>Servicio de Soporte de Averías (Outsorcing) - Empresas - 2025</t>
  </si>
  <si>
    <t>OP00901- Post venta GPON - B2B - 2025</t>
  </si>
  <si>
    <t>OP00900 - PostVenta FO Ultima Milla - 2025</t>
  </si>
  <si>
    <t>Desinstalaciones Fibra - 2025</t>
  </si>
  <si>
    <t>REUBICACIONES Y REMODELAMIENTO DE NODOS 2025</t>
  </si>
  <si>
    <t>CAPITALIZACION DE GASTOS LOGISTICOS 2025</t>
  </si>
  <si>
    <t>REUBICACION DE MW 2025</t>
  </si>
  <si>
    <t>REGULARIZACION DE LICENCIAS 2025</t>
  </si>
  <si>
    <t>REUBICACION DE PLANTA EXTERNA 2025</t>
  </si>
  <si>
    <t>ANILLOS DE PREAGREGACION CAPACIDAD 5G LIMA 2025</t>
  </si>
  <si>
    <t>REUBICACION AGREGADOR ELPORVENIR 2025</t>
  </si>
  <si>
    <t>SANEAMIENTO INMUEBLES SBN 2025</t>
  </si>
  <si>
    <t>REFORZAMIENTOS ESTRUCTURALES DE TORRES NEXTEL 2025</t>
  </si>
  <si>
    <t>IMPLEMENTACION CONCENTRADOR DE VPN 2025</t>
  </si>
  <si>
    <t>COMPRA EMUB PARA GESTIONAR ALARMAS EN MSOS 2025</t>
  </si>
  <si>
    <t>AMAZON - WHOLESALE 2025</t>
  </si>
  <si>
    <t>RUTAS DORSALES 2025</t>
  </si>
  <si>
    <t>IMPLEMENTACION PLATAFORMA PAM 2025</t>
  </si>
  <si>
    <t>SWAP DE BANCO DE BATERIAS REP LA MOLINA 2025</t>
  </si>
  <si>
    <t>COGENT PROVEEDOR IP TRANSIT 2025</t>
  </si>
  <si>
    <t>HERRAMIENTA DE DISENO Y GEOLOCALIZACION 2025</t>
  </si>
  <si>
    <t>Renovacion de Equipos RED INTERNACIONAL 2025</t>
  </si>
  <si>
    <t>PROYECTO FIBRA MAM 3.0 PERU 2025</t>
  </si>
  <si>
    <t>RANCO TDD - 2025</t>
  </si>
  <si>
    <t>Adicional Telxius - 2025</t>
  </si>
  <si>
    <t>DAS LAP terminal 2 - 2025</t>
  </si>
  <si>
    <t>Regularizacion de Equipos Adicionales - 2025</t>
  </si>
  <si>
    <t>Entel alquileres - 2025</t>
  </si>
  <si>
    <t>Expansion APT - 2025</t>
  </si>
  <si>
    <t>Plan Contención (Comisión) - 2025</t>
  </si>
  <si>
    <t>Plan Contención (Reembolso) - 2025</t>
  </si>
  <si>
    <t>RANCO FDD - 2025</t>
  </si>
  <si>
    <t>Refarming 1900 - 2025</t>
  </si>
  <si>
    <t>Regulatorio 700 Nuevos Poligonos + CVM - 2025</t>
  </si>
  <si>
    <t>Regulatorio APT - 2025</t>
  </si>
  <si>
    <t>Roll Out - 2025</t>
  </si>
  <si>
    <t>SBN - 2025</t>
  </si>
  <si>
    <t>Sitios Alba Piso con cierre - 2025</t>
  </si>
  <si>
    <t>Sitios Alba Torre con cierre - 2025</t>
  </si>
  <si>
    <t>Sitios Nuevos TX (RO, 5G, COB INDOOR, REG, B2C, B2B) - 2025</t>
  </si>
  <si>
    <t>Vulnerabilidad - 2025</t>
  </si>
  <si>
    <t>Inbuilding - 2025</t>
  </si>
  <si>
    <t>Arriendos rezagados - 2025</t>
  </si>
  <si>
    <t>Direcnet - 2025</t>
  </si>
  <si>
    <t>Sectores Reactivos - 2025</t>
  </si>
  <si>
    <t>Proyecto Cobertura FDD - TDD Alquiler Roll Out - 2025</t>
  </si>
  <si>
    <t>Beneficio Renovación de contratos Sitios ALBA-Dic 2025</t>
  </si>
  <si>
    <t>Postes existentes - 2025</t>
  </si>
  <si>
    <t>Postes Nuevos - 2025</t>
  </si>
  <si>
    <t>Servidumbres postes - 2025</t>
  </si>
  <si>
    <t>Renovación de dominio entel.net.pe - 2025</t>
  </si>
  <si>
    <t>Mediciones de señal de cumplimiento regulatorio - 2025</t>
  </si>
  <si>
    <t>Optimización RAN - Proactiva - 2025</t>
  </si>
  <si>
    <t>S&amp;M de Plataforma de Geolocalización y Planning - 2025</t>
  </si>
  <si>
    <t>SOP004 - Licencia software de predicción cobertura indoor - 2025</t>
  </si>
  <si>
    <t>SOP096 - TSS Soluciones Empresas - Macro &amp; Indoor (Survey de RF + TSS constructivo) - 2025</t>
  </si>
  <si>
    <t>Limpieza de espectro para D2C en sitios IPT - 2025</t>
  </si>
  <si>
    <t>SOP016 - LACNIC Entel Perú - 2025</t>
  </si>
  <si>
    <t>LACNIC - Direcnet - 2025</t>
  </si>
  <si>
    <t>SOP019 - Mantenimiento Herramienta de almacenamiento de contratos (Comsites) - 2025</t>
  </si>
  <si>
    <t>SOP152 - Process Management System- Soporte y mantenimiento - 2025</t>
  </si>
  <si>
    <t>Servcio de mantenimiento y mejoras para la Web GCIR - 2025</t>
  </si>
  <si>
    <t>Servicios de Consultoría de Energía, Clima y Obras Eléctricas - 2025</t>
  </si>
  <si>
    <t>SOP154 - Office Track - 2025</t>
  </si>
  <si>
    <t>Desmontaje equipos - PISCO - 2025</t>
  </si>
  <si>
    <t>SOP123 - Renovación de Licencias Tableau Creator (17) + Viewer (100) - 2025</t>
  </si>
  <si>
    <t>Soporte a la operación administrativa redes - 2025</t>
  </si>
  <si>
    <t>SOP098 - Renovación Servicio Anual de BD - 2025</t>
  </si>
  <si>
    <t>Servicio de Vigilancia P18 - 2025</t>
  </si>
  <si>
    <t>Interconexión INTERMAX - 2025</t>
  </si>
  <si>
    <t>PAM - 2025</t>
  </si>
  <si>
    <t>Soporte ARBOR - 2025</t>
  </si>
  <si>
    <t>SOP081 - Subscripción de Vmware - Subscripción de Vmware Granja Datacomm - 2025</t>
  </si>
  <si>
    <t>SIEM ciberseguridad - 2025</t>
  </si>
  <si>
    <t>DARKTRACE - 2025</t>
  </si>
  <si>
    <t>SOP167 - Mantenimiento Agregadores - 2025</t>
  </si>
  <si>
    <t>Correcciones resultados Ethical Hacking - 2025</t>
  </si>
  <si>
    <t>Ethical Hacking de Servidores - 2025</t>
  </si>
  <si>
    <t>TENABLE - 2025</t>
  </si>
  <si>
    <t>SOP118 - Renovacion anual de Licencia GSMA - 2025</t>
  </si>
  <si>
    <t>LUMIN - 2025</t>
  </si>
  <si>
    <t>SOP130 - Splunk Enterprise - Term License with Standard Support - 40 GB/day - 2025</t>
  </si>
  <si>
    <t>EDR - 2025</t>
  </si>
  <si>
    <t>Repuestos - Consumibles - 2025</t>
  </si>
  <si>
    <t>SOP056 - Servicio de Roaming Testing - 2025</t>
  </si>
  <si>
    <t>Desmontaje IDEN - MSO - 2025</t>
  </si>
  <si>
    <t>OpenLDAP - 2025</t>
  </si>
  <si>
    <t>Servicio de Soporte y RMA de 32 Equipos ZPE Red Fuera de Banda - 2025</t>
  </si>
  <si>
    <t>SOP156 - Soporte GitLab - 2025</t>
  </si>
  <si>
    <t>Desmontaje de equipos, retiro de cableados - 2025</t>
  </si>
  <si>
    <t>SOP183 - Servicio Atención de Primer Nivel Técnico de Troubletickets - 2025</t>
  </si>
  <si>
    <t>SOP122 - Soporte HW + SW + Licencias de Plataforma ISE - 2025</t>
  </si>
  <si>
    <t>Destrucción de equipos 5220 - 2025</t>
  </si>
  <si>
    <t>SOP063 - Servicio de Mantenimiento Anual para Videowall 11x2 - 2025</t>
  </si>
  <si>
    <t>Equipos Cisco (Consolidación) - ISR - 2025</t>
  </si>
  <si>
    <t>SOP031 - Certificados digitales - 2025</t>
  </si>
  <si>
    <t>SOP060 - Soporte Servidores Bridge,Switches+Servidores DWDM (SOP039) - 2025</t>
  </si>
  <si>
    <t>SOP028 - Soporte Granja de Servidores + SOP165 - Soporte Granja HW ISE Solar - 2025</t>
  </si>
  <si>
    <t>Soporte CoreFirewall - Fortinet - 2025</t>
  </si>
  <si>
    <t>Servicio de Soporte IP Datacom (Next Generation Core NE9000-20) - 2025</t>
  </si>
  <si>
    <t>Licencias SO Windows y BD MSSQL para PAM - 2025</t>
  </si>
  <si>
    <t>Servicio de Soporte Gestor WinManage - 2025</t>
  </si>
  <si>
    <t>Licencias y Soporte Local FORTIMAIL - 2025</t>
  </si>
  <si>
    <t>Licencias adicionales MFA - VPN - 2025</t>
  </si>
  <si>
    <t>Visualización de Salas Tecnicas - 2025</t>
  </si>
  <si>
    <t>Servicio de Soporte CSR FG-80F - Solución Starlink - 2025</t>
  </si>
  <si>
    <t>Soporte de HW Servidor MEM - 2025</t>
  </si>
  <si>
    <t>Plataforma Entlement Server - Certificado de seguridad SSL - 2025</t>
  </si>
  <si>
    <t>MFA - 2025</t>
  </si>
  <si>
    <t>TRABAJOS CORRECTIVOS MICROONDAS - 2025</t>
  </si>
  <si>
    <t>Licencias O&amp;M Sitios - 2025</t>
  </si>
  <si>
    <t>Apis Training - 2025</t>
  </si>
  <si>
    <t>Consultorias - 2025</t>
  </si>
  <si>
    <t>Servicio Soporte Dedicado 24/7 - netBOT - 2025</t>
  </si>
  <si>
    <t>SOP087 - Mantenimiento / Upgrade Office Track - 2025</t>
  </si>
  <si>
    <t>SOP088 - Soporte y Mantenimiento Nemo y Windcatcher - 2025</t>
  </si>
  <si>
    <t>SOP150 - Mantenimiento de hw de DT (calibración de scanner y reemplazo de accesorios) - 2025</t>
  </si>
  <si>
    <t>SOP170 - Soporte del Sistema de monitoreo de Fibra Óptica - ONMSI - 2025</t>
  </si>
  <si>
    <t>Administracion Gestor Energia CastleRock - 2025</t>
  </si>
  <si>
    <t>Limpieza Técnica Salas Redes y Data Center en MSOs - 2025</t>
  </si>
  <si>
    <t>Mantenimiento Preventivo y Correctivo de Celdas de Media Tensión y Transformadores en Infraestructura Crítica - 2025</t>
  </si>
  <si>
    <t>Mantenimiento Preventivo y Correctivo de Grupo Electrógenos y Tanques Combustible en Infraestructura Crítica - 2025</t>
  </si>
  <si>
    <t>Mantenimiento Preventivo y Correctivo de Rectificadores, Inversores y PDF en Infraestructura Crítica - 2025</t>
  </si>
  <si>
    <t>Mantenimiento Preventivo y Correctivo de UPSs y Bancos Baterías Litio en Infraestructura Crítica - 2025</t>
  </si>
  <si>
    <t>Mantenimiento Preventivo y Correctivo del SwitchGear MSO San Borja - 2025</t>
  </si>
  <si>
    <t>SOP089 - Mantenimiento Preventivo y Correctivo de Sistemas Contraincendio en MSOs, RSOs y STs - 2025</t>
  </si>
  <si>
    <t>SOP094 - Mantenimiento MSOs - Sistemas electricos y auxiliares - 2025</t>
  </si>
  <si>
    <t>Eventos COWS (Instalación y Desinstalación) - 2025</t>
  </si>
  <si>
    <t>Liberación de interferencias - 2025</t>
  </si>
  <si>
    <t>Pago de Notificaciones/Proceso de Resolucion (Legal) - Multas AYA - 2025</t>
  </si>
  <si>
    <t>Desmontaje de torres (equipos nodos + gabinetes) - 2025</t>
  </si>
  <si>
    <t>Pago de Notificaciones/Proceso de Resolucion (Legal) - Multas OOEE/OOCC - 2025</t>
  </si>
  <si>
    <t>LEY 31595 – Retiro de Cable de FO en Desuso y/o mal estado - 2025</t>
  </si>
  <si>
    <t>Reubicaciones - 2025</t>
  </si>
  <si>
    <t>MANTENIMIENTO Y COMBUSTIBLE DE VEHICULOS - 2025</t>
  </si>
  <si>
    <t>Operación y mantenimiento PEXT – NAZCA - 2025</t>
  </si>
  <si>
    <t>OTROS TRABAJOS DE MANT. CORRECTIVO LIMA - 2025</t>
  </si>
  <si>
    <t>Vigilancia - 2025</t>
  </si>
  <si>
    <t>Servicio de mantenimiento y reacción LIMA - Telrad - 2025</t>
  </si>
  <si>
    <t>Correctivos adicionales RSOs y STs - 2025</t>
  </si>
  <si>
    <t>Limpieza Técnica Salas Redes y Data Center en MSOs - (RSOs y STs) - 2025</t>
  </si>
  <si>
    <t>Mantenimiento Preventivo y Correctivo de Celdas de Media Tensión y Transformadores en Infraestructura Crítica - (RSOs y STs) - 2025</t>
  </si>
  <si>
    <t>Mantenimiento Preventivo y Correctivo de Equipos de Climatización en Infraestructura Crítica - (RSOs y STs) - 2025</t>
  </si>
  <si>
    <t>Mantenimiento Preventivo y Correctivo de Grupo Electrógenos y Tanques Combustible en Infraestructura Crítica - (RSOs y STs) - 2025</t>
  </si>
  <si>
    <t>Mantenimiento Preventivo y Correctivo de Rectificadores, Inversores y PDF en Infraestructura Crítica - (RSOs y STs) - 2025</t>
  </si>
  <si>
    <t>Mantenimiento Preventivo y Correctivo de UPSs y Bancos Baterías Litio en Infraestructura Crítica - (RSOs y STs) - 2025</t>
  </si>
  <si>
    <t>Mantenimiento Preventivo y Correctivo del SwitchGear MSO San Borja - (RSOs y STs) - 2025</t>
  </si>
  <si>
    <t>Ampliación de potencia suministros - 2025</t>
  </si>
  <si>
    <t>Optimización RAN- Reactiva - 2025</t>
  </si>
  <si>
    <t>Auditorías en Terrreno - 2025</t>
  </si>
  <si>
    <t>Proyecto Cobertura FDD-TDD O&amp;M Sitios Mant y Reacción - 2025</t>
  </si>
  <si>
    <t>Mantenimiento Preventivo de líneas de MT y BT (limpieza de líneas, ferretería, transformadores, etc) - 2025</t>
  </si>
  <si>
    <t>ENERGIA Y CLIMA REGIONES - 2025</t>
  </si>
  <si>
    <t>Licencias AUTOCAD - 2025</t>
  </si>
  <si>
    <t>Servicio de mantenimiento y reacción Sitios Lima - Indra - 2025</t>
  </si>
  <si>
    <t>Servicio de mantenimiento y reacción PEXT Lima - Indra - 2025</t>
  </si>
  <si>
    <t>Servicio de mantenimiento y reacción Sitios Regiones - Indra - 2025</t>
  </si>
  <si>
    <t>Servicio de mantenimiento y reacción PEXT Regiones - Indra - 2025</t>
  </si>
  <si>
    <t>Trabajos pendientes 2024 - Regiones</t>
  </si>
  <si>
    <t>Trabajos de Optimización - 2025</t>
  </si>
  <si>
    <t>Combustible LIMA - 2025</t>
  </si>
  <si>
    <t>Combustible MSOs - 2025</t>
  </si>
  <si>
    <t>Combustible REGIONES - 2025</t>
  </si>
  <si>
    <t>Facilities - 2025</t>
  </si>
  <si>
    <t>Proyectos de Despliegue - 2025</t>
  </si>
  <si>
    <t>Proyecto Cobertura FDD - TDD Energía Despliegue - 2025</t>
  </si>
  <si>
    <t>Trámites municipales - 2025</t>
  </si>
  <si>
    <t>Soporte CGNAT Red Fija - F5 - 2025</t>
  </si>
  <si>
    <t>Servicio de Soporte ACS - NAZCA - 2025</t>
  </si>
  <si>
    <t>Servicio Web Services - NAZCA - 2025</t>
  </si>
  <si>
    <t>Soporte de Orquestador de Contenedores - NAZCA - 2025</t>
  </si>
  <si>
    <t>Servicio de Soporte Networking PE-COM NE8000-X4 (8 sitios) Fase2 - 2025</t>
  </si>
  <si>
    <t>Servicio de Soporte Red Fija Multiservicio PE-COM NE8000-M14 (13 sitios) Fase1 - 2025</t>
  </si>
  <si>
    <t>Homologaciones NAZCA - 2025</t>
  </si>
  <si>
    <t>Gastos notariales - 2025</t>
  </si>
  <si>
    <t>Auditoria Interna y Externa Sistema de Gestión de Seguridad de la Información - ISO27001 - 2025</t>
  </si>
  <si>
    <t>Auditoria Interna y Externa Sistema de Gestión Ambiental - ISO 14001 - 2025</t>
  </si>
  <si>
    <t>Auditoría Interna y Externa Sistema de Gestión de Calidad - ISO 9001 - 2025</t>
  </si>
  <si>
    <t>Certificaciones y entrenamientos del Equipo - 2025</t>
  </si>
  <si>
    <t>Implementación del Sistema de Gestión de Seguridad y Salud en el Trabajo ISO 45001 - 2025</t>
  </si>
  <si>
    <t>Inspecciones y Auditoría a Proveedores de la VP de Redes - 2025</t>
  </si>
  <si>
    <t>Sensibilización del personal sobre normas ISO - 2025</t>
  </si>
  <si>
    <t>Soporte para liberación de interferencias - 2025</t>
  </si>
  <si>
    <t>Ampliación del Sistema de Gestión de Calidad ISO 9001 - 2025</t>
  </si>
  <si>
    <t>Implementación del Sistema de Gestión de Energía ISO 50001 - 2025</t>
  </si>
  <si>
    <t>Servicio de Mediciones de RNI - 2025</t>
  </si>
  <si>
    <t>Servicio de soporte para compras Redes - 2025</t>
  </si>
  <si>
    <t>Desmontaje Equipos RF y TX - 2025</t>
  </si>
  <si>
    <t>Licencias Microsoft - 2025</t>
  </si>
  <si>
    <t>Licencia JIRA Services Management - 2025</t>
  </si>
  <si>
    <t>Licencia JIRA Software - 2025</t>
  </si>
  <si>
    <t>Regularización de Licencia Microsoft - 2025</t>
  </si>
  <si>
    <t>Licencia POWER BI - 2025</t>
  </si>
  <si>
    <t>Alquiler de postería Regularizaciones - B2B - 2025</t>
  </si>
  <si>
    <t>Alquiler de postería Entel Fibra B2B - 2025</t>
  </si>
  <si>
    <t>Alquiler de posteria (regularizaciones) - B2B - 2025</t>
  </si>
  <si>
    <t>Alquiler de postería Entel GPON B2B - 2025</t>
  </si>
  <si>
    <t>Mantenimiento GPON - Calidad B2B - 2025</t>
  </si>
  <si>
    <t>Mantenimiento GPON - Cámara - B2B - 2025</t>
  </si>
  <si>
    <t>CESOP03 - Servicio N2 - B2B - 2025</t>
  </si>
  <si>
    <t>CESOP04 - Servicio Monitoreo - B2B - 2025</t>
  </si>
  <si>
    <t>Servicio de Homologaciones - B2B - 2025</t>
  </si>
  <si>
    <t>Servicio de Soporte a la instalación y Averías (Outsorcing) - Empresas - 2025</t>
  </si>
  <si>
    <t>Gestión Logística y Técnica GPON - Empresas - 2025</t>
  </si>
  <si>
    <t>Servicio de Calidad de Entregables - GPON B2B - 2025</t>
  </si>
  <si>
    <t>Servicio de Soporte a la instalación - Empresas (administrativo) - 2025</t>
  </si>
  <si>
    <t>SOP174 - Renovación Licencias Power BI - B2B - 2025</t>
  </si>
  <si>
    <t>Servicio de soporte pagos y liquidaciones - B2B - 2025</t>
  </si>
  <si>
    <t>Soporte herramientas tecnologicas - B2B - 2025</t>
  </si>
  <si>
    <t>Soporte Smartwifi - B2B - 2025</t>
  </si>
  <si>
    <t>Smallworld - Servicio Licencias - B2B - 2025</t>
  </si>
  <si>
    <t>Soporte personal de atencion Factibilidades Tecnicas Empresas - 2025</t>
  </si>
  <si>
    <t>Mantenimiento Radio Enlace - B2B - 2025</t>
  </si>
  <si>
    <t>Mantenimiento Satelital - B2B - 2025</t>
  </si>
  <si>
    <t>Pago a torreras por instalación de radioenlaces - B2B - 2025</t>
  </si>
  <si>
    <t>Planner Consultas Direcciones - API Equifax (GeoFinder) - B2B - 2025</t>
  </si>
  <si>
    <t>Renovación por Obsolescencia (Clientes de Cobre) - B2B - 2025</t>
  </si>
  <si>
    <t>Servicio Agendamiento (Factibilidad - Implementación) - B2B - 2025</t>
  </si>
  <si>
    <t>Servicio Gestion administrativa (liquidación-logística) - B2B - 2025</t>
  </si>
  <si>
    <t>Servicio para carga de información - Smallworld - B2B - 2025</t>
  </si>
  <si>
    <t>Servicios de Implementación B2B - 2025</t>
  </si>
  <si>
    <t>Servicios de Procesos y Permisos B2B - 2025</t>
  </si>
  <si>
    <t>Smallworld - Infraestructura Smallworld - B2B - 2025</t>
  </si>
  <si>
    <t>Pago a torreras por instalación de radioenlaces - B2B - 2025 (Regularización años pasados)</t>
  </si>
  <si>
    <t>Mantenimiento de Postes Lima - N - B2B - 2025</t>
  </si>
  <si>
    <t>Mantenimiento de Postes Provincia - N - B2B - 2025</t>
  </si>
  <si>
    <t>Reemplazo de Postes de Apoyo Lima - N - B2B - 2025</t>
  </si>
  <si>
    <t>Reemplazo de Postes de Apoyo Provincia- N - B2B - 2025</t>
  </si>
  <si>
    <t>Reordenamiento y retiro de cable Fibra Optica B2B-N - 2025</t>
  </si>
  <si>
    <t>Alquiler de posteria (regularizaciones) - B2C - 2025</t>
  </si>
  <si>
    <t>Alquiler de postería Entel GPON B2C - 2025</t>
  </si>
  <si>
    <t>Mantenimiento GPON - Calidad B2C - 2025</t>
  </si>
  <si>
    <t>Mantenimiento GPON - Cámara - B2C - 2025</t>
  </si>
  <si>
    <t>CESOP03 - Servicio N2 - B2C - 2025</t>
  </si>
  <si>
    <t>CESOP04 - Servicio Monitoreo - B2C - 2025</t>
  </si>
  <si>
    <t>Servicio de Homologaciones - B2C - 2025</t>
  </si>
  <si>
    <t>Servicio de soporte pagos y liquidaciones - B2C - 2025</t>
  </si>
  <si>
    <t>Soporte herramientas tecnologicas - B2C - 2025</t>
  </si>
  <si>
    <t>Adquisición Licencias ArcGIS - B2C - 2025</t>
  </si>
  <si>
    <t>Gestión Logística y Técnica GPON - Hogar - B2C - 2025</t>
  </si>
  <si>
    <t>Schaman - Infraestructura - B2C - 2025</t>
  </si>
  <si>
    <t>Schaman - Uso de aplicación - B2C - 2025</t>
  </si>
  <si>
    <t>Servicio de Calidad de Entregables - GPON B2C - 2025</t>
  </si>
  <si>
    <t>Servicio de gestión de contratas - MaM - B2C - 2025</t>
  </si>
  <si>
    <t>Servicio de Soporte a la instalación - Hogar (administrativo) - B2C - 2025</t>
  </si>
  <si>
    <t>Soporte Smartwifi - B2C - 2025</t>
  </si>
  <si>
    <t>Servicio de Soporte a la instalación y Averías (Outsorcing) - Hogar - B2C - 2025 (Fibra Hogar)</t>
  </si>
  <si>
    <t>Post venta GPON - B2C - 2025</t>
  </si>
  <si>
    <t>Averías GPON B2C - 2025</t>
  </si>
  <si>
    <t>Desinstalaciones GPON - B2C - 2025</t>
  </si>
  <si>
    <t>Smallworld - Servicio Licencias - B2C - 2025</t>
  </si>
  <si>
    <t>Soporte a la plataforma de Escaneo de Usuarios BAFI - B2C - 2025</t>
  </si>
  <si>
    <t>Servicio 09: Servicio de provisión (back office) - B2C - 2025</t>
  </si>
  <si>
    <t>Servicio de Soporte a la instalación y Averías (Outsorcing) - Hogar - B2C - 2025 (Op Clientes)</t>
  </si>
  <si>
    <t>Reordenamiento y retiro de cable Fibra Optica B2C-N - 2025</t>
  </si>
  <si>
    <t>CRA MOVIL AMPLIACIONES 5G 2025</t>
  </si>
  <si>
    <t>Firewall GTP/Senalizacion 2025</t>
  </si>
  <si>
    <t>Trabajos pendientes 2024 - Lima</t>
  </si>
  <si>
    <t>RACKS INTERCOMPANY 2024</t>
  </si>
  <si>
    <t>COBERTURA INDOOR APT 2025 - FASE 2</t>
  </si>
  <si>
    <t>AMPLIACIONES Y REMODELACIONES INBUILDING 2025</t>
  </si>
  <si>
    <t>RECUPERACION DE AUTONOMIA EN SITIOS - APEC LIMA 2025</t>
  </si>
  <si>
    <t>D2C 2025</t>
  </si>
  <si>
    <t>CRA MOVIL BATCH 2 2025</t>
  </si>
  <si>
    <t>RUTAS DORSALES PLAYAS 2025</t>
  </si>
  <si>
    <t>DESPLIEGUE INDOOR CLIENTES EMPRESAS 2025 - DROKASA</t>
  </si>
  <si>
    <t>DESPLIEGUE INDOOR CLIENTES EMPRESAS DP WORLD 2025</t>
  </si>
  <si>
    <t>FACILITIES MSOS Y RSOS Y AGREGADORES 2025</t>
  </si>
  <si>
    <t>DESPLIEGUE INDOOR CLIENTES EMPRESA 2025 - ACEROS AREQUIPA</t>
  </si>
  <si>
    <t>Acarreo de combustible Lima y Regiones</t>
  </si>
  <si>
    <t>CELULA REGULATORIA 2025</t>
  </si>
  <si>
    <t>CAPITALIZABLES MENORES - PLANTA EXTERNA 2025</t>
  </si>
  <si>
    <t>AUTOMATIZACION DE REPORTES REGULATORIOS 2025</t>
  </si>
  <si>
    <t>DESPLIEGUE EyTU 2025</t>
  </si>
  <si>
    <t>PROYECTO PISCO 2025</t>
  </si>
  <si>
    <t>RENOVACION DE EQUIPOS RED INTERNACIONAL 2025</t>
  </si>
  <si>
    <t>HABILITACION RELE FALLA A TIERRA EN LMT - REGULATORIO SITE CULEBRAS 2025</t>
  </si>
  <si>
    <t>CAMBIO POR OBSOLESCENCIA Y FALLA DE SISTEMA DCI 2025</t>
  </si>
  <si>
    <t>DNS RESOLVER MOVIL F5 PERU 2025</t>
  </si>
  <si>
    <t>SERVICIOS DE MIGRACION CLIENTES 2025</t>
  </si>
  <si>
    <t>CAMBIO DE SWITCH PARA GESTIONAR ELEMENTOS CRITICOS MSOs 2025</t>
  </si>
  <si>
    <t>PM'S GESTORES DE PROYECTOS 2025</t>
  </si>
  <si>
    <t>Capacitaciones calidad</t>
  </si>
  <si>
    <t>ENERGIA Y CLIMA - 2025</t>
  </si>
  <si>
    <t>INFRAESTRUCTURA - 2025</t>
  </si>
  <si>
    <t>IVR B2B PE</t>
  </si>
  <si>
    <t>IVR B2C PE</t>
  </si>
  <si>
    <t>B2C/B2B PE WEB</t>
  </si>
  <si>
    <t>LITO</t>
  </si>
  <si>
    <t>WHOSALE</t>
  </si>
  <si>
    <t>B2C PE SALES</t>
  </si>
  <si>
    <t>B2C PE APP</t>
  </si>
  <si>
    <t>ADECUACIONES AQ_PALOMAR 2025</t>
  </si>
  <si>
    <t>AUTOMATIZACION DEL PROCESO DE INTEGRACION DE TRANSPORTE 2025</t>
  </si>
  <si>
    <t>Cambio de Planta Inversora y Rectificadora MSO SB 2025</t>
  </si>
  <si>
    <t>Homologacion de Politicas para los RSOs y STs 2025</t>
  </si>
  <si>
    <t>IDEOS 2025</t>
  </si>
  <si>
    <t>Implementación 2do Ramal Switchgear y Correctivos Assesment Switchgear MSO SB 2025</t>
  </si>
  <si>
    <t>LIT BAT RSOs SALA TÉCNICA 2025</t>
  </si>
  <si>
    <t>MANTENIMIENTO MAYOR DE GE 2025</t>
  </si>
  <si>
    <t>MANTENIMIENTO MAYOR LMT 2025</t>
  </si>
  <si>
    <t>MANTENIMIENTO Y REFORZAMIENTO DE SALAS TÉCNICAS - AGREGADORES 2025</t>
  </si>
  <si>
    <t>OPTIMIZACIÓN DE ESPACIO EN TORRE - REDUCCIÓN OPEX 2025</t>
  </si>
  <si>
    <t>REFORZAMIENTO DE EDIFICACIONES PARA REGULARIZAR LICENCIAS 2025</t>
  </si>
  <si>
    <t>Retrofit MSO MIR 2025</t>
  </si>
  <si>
    <t>SERVICIO DE LMT - PASTOR RUIZ 2025</t>
  </si>
  <si>
    <t>Amazon - Wholesale 2025</t>
  </si>
  <si>
    <t>Compra e Instalacion de Baterias de Plomo para MSOs 2025</t>
  </si>
  <si>
    <t>CRECIMIENTO AUTOMATICO DE WHOLESALE 2025</t>
  </si>
  <si>
    <t>CRECIMIENTO AUTOMATICO DE RED SERVICIOS FIJOS 2025</t>
  </si>
  <si>
    <t>ENLACES DE PROTECCION INTERNEXA 2025</t>
  </si>
  <si>
    <t>INCREMENTO DE CAPACIDAD STORAGE 2025</t>
  </si>
  <si>
    <t>Soporte y Mantenimiento Licencias BEYONDTRUST - PAM 2025</t>
  </si>
  <si>
    <t>EXPANSION DWDM RED CORE AGREGACION METRO LIMA 2025</t>
  </si>
  <si>
    <t>DWDM INTERCONEXION DATA CENTER 2025</t>
  </si>
  <si>
    <t>SOP140 - Gestión de herramienta y dashboard energía - 2025</t>
  </si>
  <si>
    <t>HABILITACION REDUNDANCIA CLIMATIZACION SALAS MSO SB 2025</t>
  </si>
  <si>
    <t>IMPLEMENTACION D2C STARLINK EN ENTITLELMENT 2025</t>
  </si>
  <si>
    <t>REEMPLAZO DE EQUIPOS DE SINCRONISMO BITS v3 2025</t>
  </si>
  <si>
    <t> Soporte y Mantenimiento Licencias VMWARE - PAM  2025</t>
  </si>
  <si>
    <t>Soporte y Mantenimiento Licencias REDHAT - PAM 2025</t>
  </si>
  <si>
    <t>Servicio de actas  - B2C - 2025</t>
  </si>
  <si>
    <t>CELULA ATG PE</t>
  </si>
  <si>
    <t>DWDM CIRION (PROVEEDORES DE CONTENIDO) 2025</t>
  </si>
  <si>
    <t>CAPITALIZABLES MENORES - REPUESTOS DE ENERGIA ELTEK 2025</t>
  </si>
  <si>
    <t>INCREMENTO DE CAPACIDAD GRANJA MOVIL 2025</t>
  </si>
  <si>
    <t>EXPANSION RED DE GESTION FUERA DE BANDA 2025</t>
  </si>
  <si>
    <t>DESMONTAJE REPETIDOR REP HUALGAYOC 2025</t>
  </si>
  <si>
    <t>MANTENIMIENTO CORRECTIVO MAYOR DE AIRES ACONDICIONADOS MSOS 2025</t>
  </si>
  <si>
    <t>OPORTUNIDAD DE MEJORA DE EXPERIENCIA DE USUARIO MOVIL 2025</t>
  </si>
  <si>
    <t>Mejora de herramientas para Cumplimiento Normativo</t>
  </si>
  <si>
    <t>Licencias Red Hat &amp; Red Hat Satellite para Teoco</t>
  </si>
  <si>
    <t>CONEXION FIBRA TERMINAL 2 AEROPUERTO JORGE CHAVEZ 2025</t>
  </si>
  <si>
    <t>OPTIMIZACION DE ESPACIO EN TORRE REDUCCION OPEX 2025</t>
  </si>
  <si>
    <t>COMPANIA MINERA ZAFRANAL 2025</t>
  </si>
  <si>
    <t>REFORZAMIENTO DE EDIFICACIONES POR DANO ESTRUCTURAL 2025</t>
  </si>
  <si>
    <t>Casacas Ing. Red de Acceso</t>
  </si>
  <si>
    <t>Optimizacion de espacio en torre - 2025</t>
  </si>
  <si>
    <t>Soporte Vodafone - EUREKA</t>
  </si>
  <si>
    <t>Declaración No Uso</t>
  </si>
  <si>
    <t>MANTENIMIENTOS CORRECTIVOS PEXT - 2025</t>
  </si>
  <si>
    <t>DESPLIEGUE INDOOR CLIENTES EMPRESAS 2025 - DROKASA - SEDE HUACHO</t>
  </si>
  <si>
    <t>CONSTELACION VOLTE 2025</t>
  </si>
  <si>
    <t>DESPLIEGUE INDOOR CLIENTES EMPRESAS 2025 - MINERA CORONA</t>
  </si>
  <si>
    <t>Servicios Ingenieros Soporte N2 TAC &amp; MAT2 - B2B - 2025</t>
  </si>
  <si>
    <t>Servicios de Outsourcing Banda 3.5</t>
  </si>
  <si>
    <t>CORRECTIVOS ASSESMENT REGIONES 2025</t>
  </si>
  <si>
    <t>Bolsa HH SOVOS para GdD</t>
  </si>
  <si>
    <t>Estado Ptto</t>
  </si>
  <si>
    <t>COMPRA TELEFONO SATELITAL 2025</t>
  </si>
  <si>
    <t>AMPLIACION DE CORE VOZ FIJO PERSONAS 2025</t>
  </si>
  <si>
    <t>AAA - Desarrollo Funcionalidad Envio AVP con DNS para ONTs 2025</t>
  </si>
  <si>
    <t>AAA - Envio de AVP Sessión ID a CGNAT Fija 2025</t>
  </si>
  <si>
    <t>AD de Red 2025</t>
  </si>
  <si>
    <t>Ampliación capacidad NCE IP 2025</t>
  </si>
  <si>
    <t>Ampliación de capacidad Gestor Solarwinds 2025</t>
  </si>
  <si>
    <t>Ampliación de capacidad VAS Unificado 2025</t>
  </si>
  <si>
    <t>Ampliación de plataformas Roaming 2025</t>
  </si>
  <si>
    <t>AMPLIACIÓN DE SISTEMA DE MONITOREO DE FO EN PROVINCIAS 2025</t>
  </si>
  <si>
    <t>Assessment Red Telco 2026 2025</t>
  </si>
  <si>
    <t>Automatización Core MPLS 2025</t>
  </si>
  <si>
    <t>AUTOMATIZACION DE HERRAMIENTAS DE INGENIERIA DE TRANSPORTE 2025</t>
  </si>
  <si>
    <t>AUTOMATIZACIÓN DE LA GESTIÓN Y CONTROL DE RENTAS 2025</t>
  </si>
  <si>
    <t>Cambio de Tanque Interno GE2  MSO Miraflores 2025</t>
  </si>
  <si>
    <t>Cambio por Obsolescencia y falla de sistema DCI - 2025</t>
  </si>
  <si>
    <t>Cambio de Switch para Gestionar Elementos críticos MSOs 2025</t>
  </si>
  <si>
    <t>CAMBIO TABLERO CONTROL VESDA 2025</t>
  </si>
  <si>
    <t>CGNAT fijo + Analytics 2025</t>
  </si>
  <si>
    <t>Color Profile: Zonificación de las rutas de Restauración 2025</t>
  </si>
  <si>
    <t>Correctivos Assesment Regiones 2025</t>
  </si>
  <si>
    <t>Despliegue Core Movil (UP) multivendor (50 Gbps) 2025</t>
  </si>
  <si>
    <t>Despliegue de Lab 5G SA (Voz+Datos) 2025</t>
  </si>
  <si>
    <t>Despliegue de NCE FAN para Independización con Pangeaco 2025</t>
  </si>
  <si>
    <t>Despliegue de Plataforma de Exposición Digital Backend 2025</t>
  </si>
  <si>
    <t>Despliegue de Plataforma de Orquestación CSMF y NSSMF 2025</t>
  </si>
  <si>
    <t>DESPLIEGUE FO E INTERCONEXIÓN DE PE-COM Y OLT (ODI) Nazca 2025</t>
  </si>
  <si>
    <t>DMZ Fuera de banda 2025</t>
  </si>
  <si>
    <t>DNS Resolver Móvil F5 Perú 2025</t>
  </si>
  <si>
    <t>Doble Ramal AC para AAs - ST Haya y ST Húsares 2025</t>
  </si>
  <si>
    <t>DWDM CIRION (Proveedores de contenido) 2025</t>
  </si>
  <si>
    <t>DWDM FTTH//GPON (Proyecto Nazca Fase 2) 2025</t>
  </si>
  <si>
    <t>DWDM Interconexión Data Center 2025</t>
  </si>
  <si>
    <t>EDR para NFVI 2026 2025</t>
  </si>
  <si>
    <t>Entel Perú Fase 2: RFP CDN Chile-Perú 2025</t>
  </si>
  <si>
    <t>Entel Perú Fase 2: RFP Encoders + enc. contribución Perú 2025</t>
  </si>
  <si>
    <t>Entel Peru Fase1: Contribución 2025</t>
  </si>
  <si>
    <t>Entel Peru Fase1: Distribución (Origin/CDN) 2025</t>
  </si>
  <si>
    <t>Entel Peru Fase1: Encoding 2025</t>
  </si>
  <si>
    <t>Entel Perú Fase2: Ampliacion ATN Chile - Perú 2025</t>
  </si>
  <si>
    <t>Evolución de Plataforma OCS PSS-36 a Plataformas 1830 PSS-32/16II/8 2026 2025</t>
  </si>
  <si>
    <t>Evolución y Optimización de nodos de Core 2025</t>
  </si>
  <si>
    <t>Expansion DWDM Red CORE Agregación Metro Lima 2025</t>
  </si>
  <si>
    <t>EXPANSIÓN RED DE GESTION FUERA DE BANDA 2025</t>
  </si>
  <si>
    <t>Facilities Nazca 2025</t>
  </si>
  <si>
    <t>Fase 2 PAM ( Routers y Switches) 2025</t>
  </si>
  <si>
    <t>FIREWALL DE SEÑALIZACIÓN PARA ROAMING 2025</t>
  </si>
  <si>
    <t>Habilitación Cámaras de Seguridad MSOs (Puntos ciegos) 2025</t>
  </si>
  <si>
    <t>HERRAMIENTA SON 2025</t>
  </si>
  <si>
    <t>HoneyPot 2025</t>
  </si>
  <si>
    <t>IMPLEMENTACIÓN 5G SA 2025</t>
  </si>
  <si>
    <t>Implementación D2C Starlink en Core 2025</t>
  </si>
  <si>
    <t>Implementación D2C Starlink en Entitlelment 2025</t>
  </si>
  <si>
    <t>Implementación D2C Starlink en SMSC 2025</t>
  </si>
  <si>
    <t>Implementación Red DWDM LIMA - ICA 2025</t>
  </si>
  <si>
    <t>Implementación solución Service Assurance para Red Fija 2025</t>
  </si>
  <si>
    <t>Implementación solución Service Assurance para Red Movil en Arequipa 2025</t>
  </si>
  <si>
    <t>Implementación solución Service Assurance para Red Movil en Provincia 2 2025</t>
  </si>
  <si>
    <t>Implementación solución Service Assurance para Red Movil en Provincia 3 2025</t>
  </si>
  <si>
    <t>Implementación Solución TV Entel Perú 2025</t>
  </si>
  <si>
    <t>Incremento de capacidad Granja Movil 2025</t>
  </si>
  <si>
    <t>Independización Sala de energía - ST Belén (Incluye Reubicación equipos y habilitar SCI) 2025</t>
  </si>
  <si>
    <t>Inventario de Datacenter (Granja + NFVI + Plataformas) 2025</t>
  </si>
  <si>
    <t>Metro EDGE -PSS4 anillos menores de 100G 2025</t>
  </si>
  <si>
    <t>MIGRACIÓN DE LAMBDAS DE 10G a 100G/200G/400G 2025</t>
  </si>
  <si>
    <t>MIGRACIÓN DE LOS SERVICIOS VOZ FIJO (EMPRESAS) 2025</t>
  </si>
  <si>
    <t>Migración del Servicio SIM Global (Jasper) 2025</t>
  </si>
  <si>
    <t>Migración DWDM Red CORE METRO EOS 2025</t>
  </si>
  <si>
    <t>Modernización del Controlador GEEs e Interruptores Celda MT - Salas Críticas (MSO, RSO y STs) 2025</t>
  </si>
  <si>
    <t>MODERNIZACIÓN PLATAFORMA AUTOMATIZACIÓN 2025</t>
  </si>
  <si>
    <t>Modernización Plataforma DMS para soporte 5G SA 2025</t>
  </si>
  <si>
    <t>Modernización Plataforma LBS para soporte 5G SA 2025</t>
  </si>
  <si>
    <t>Modernización Plataforma OTA para soporte 5G SA 2025</t>
  </si>
  <si>
    <t>Modernización Servidores SEQ Smartcare por EOS y EOL 2025</t>
  </si>
  <si>
    <t>Movimiento Aplicaciones a Nube Pública - ACS Productivo GeoRedudante 2025</t>
  </si>
  <si>
    <t>Movimiento Aplicaciones a Nube Pública - Entorno "ingeniería" 2025</t>
  </si>
  <si>
    <t>Movimiento de cargas de trabajo de VMware a 2do Virtualizador On Premises 2025</t>
  </si>
  <si>
    <t>Nokia Optics Planning tool evolution 2025</t>
  </si>
  <si>
    <t>OBSOLESCENCIA DE NODOS (SWAP APM) 2025</t>
  </si>
  <si>
    <t>OTDR Advanced Diagnostic (Advanced Diagnostic 22.12) 2025</t>
  </si>
  <si>
    <t>PE-COM Control Plane Centralizado 2025</t>
  </si>
  <si>
    <t>PE-COM Visualización y monitoreo tráfico fijo 2025</t>
  </si>
  <si>
    <t>Reemplazo de equipos de Sincronismo BITs v3 2025</t>
  </si>
  <si>
    <t>Renovacion de sistema de Climatizacion 2025</t>
  </si>
  <si>
    <t>Renovación Ran Sharing Firewall 2025</t>
  </si>
  <si>
    <t>Renovación Switches EMS (Granja) 2025</t>
  </si>
  <si>
    <t>SDH Redes Legacy Fija . Migración y Liberación Servicios y Red 2025</t>
  </si>
  <si>
    <t>SDH Redes Legacy Movil . Migración y Liberación Servicios y Red 2025</t>
  </si>
  <si>
    <t>Seguridad BGP 2025</t>
  </si>
  <si>
    <t>Seguridad en la nube 2025</t>
  </si>
  <si>
    <t>SW Fee Core (5GC, UPCF, USC) 2025</t>
  </si>
  <si>
    <t>UPR - Seguridad para redes móviles 2025</t>
  </si>
  <si>
    <t>WaveSuite Optimizer - Channel Optimizer 2025</t>
  </si>
  <si>
    <t>WaveSuite Optimizer - Link Optimizer 2025</t>
  </si>
  <si>
    <t>WaveSuite Optimizer - Multilayer Analysis  2025</t>
  </si>
  <si>
    <t>WaveSuite Optimizer – Spectrum Streamline 2025</t>
  </si>
  <si>
    <t>EVOLUCION MPLS A SRV6 (5G SLICING) 2025</t>
  </si>
  <si>
    <t>AMPLIACION CORE-IP 2025</t>
  </si>
  <si>
    <t>NUEVOS SITIOS 5G CORE Y EXPANSION 2025</t>
  </si>
  <si>
    <t>AMPLIACION TRONCAL CORE MPLS 2025</t>
  </si>
  <si>
    <t>RENOVACION TECNOLOGICA PE-CORE 2025</t>
  </si>
  <si>
    <t>CAPACIDAD PE-CORE A DC 5G 2025</t>
  </si>
  <si>
    <t>EVOLUCION Y EXPANSION DE UDM 2025</t>
  </si>
  <si>
    <t>EVOLUCION Y EXPANSION DE USC 2025</t>
  </si>
  <si>
    <t>AMPLIACION ENLACES DE AGREGACION CORE 2025</t>
  </si>
  <si>
    <t>AMPLIACIÓN CAPACIDAD SERVICE ASSURANCE PARA RED MOVIL EN SEQ 2025</t>
  </si>
  <si>
    <t>IMPLEMENTACIÓN SOLUCIÓN SERVICE ASSURANCE PARA RED MOVIL EN PROVINCIA 1 2025</t>
  </si>
  <si>
    <t>CGNAT MOVIL 2025</t>
  </si>
  <si>
    <t>MODERNIZACIÓN RED DATACENTERS A SOLUCIÓN IP FABRIC 2025</t>
  </si>
  <si>
    <t>EXPANSION DWDM RED CORE AGREGACION PROVINCIA 2025</t>
  </si>
  <si>
    <t>AMPLIACIÓN Y CONSOLIDACIÓN MODELO DE SOLUCIÓN DE BACKUP 2025</t>
  </si>
  <si>
    <t>MODERNIZACION CORE VOZ LEGACY 2025</t>
  </si>
  <si>
    <t>AMPLIACION DE CAPACIDAD DEL SBC 2025</t>
  </si>
  <si>
    <t>AMPLIACIONES SOLUCIÓN SERVICE ASSURANCE PARA RED MOVIL EN LIMA (INCLUYE CORPORATIVO) 2025</t>
  </si>
  <si>
    <t>AMPLIACION DE CAPACIDAD UPCF 2025</t>
  </si>
  <si>
    <t>EXPANSION DWDM RED CORE IP/MPLS &amp; ISP 2025</t>
  </si>
  <si>
    <t>AMPLIACION DE CAPACIDAD DEL EIR 2025</t>
  </si>
  <si>
    <t>MODERNIZACION 5G CORE PARA APN CORPORATIVAS 2025</t>
  </si>
  <si>
    <t>RENOVACION DE DNS 2025</t>
  </si>
  <si>
    <t>CONSOLIDACION CONTROLADORES 2G Y 3G 2025</t>
  </si>
  <si>
    <t>RENOVACIÓN TECNOLÓGICA PE-RAN 2025 + EXTRA_AGG</t>
  </si>
  <si>
    <t>Compra EMUB para gestionar alarmas en MSOs 2025</t>
  </si>
  <si>
    <t>COGENT Proveedor IP TRANSIT 2025</t>
  </si>
  <si>
    <t>FIREWALL GTP/SENALIZACION 2025</t>
  </si>
  <si>
    <t>DESPLIEGUE INDOOR CLIENTES EMPRESAS 2025 – DROKASA</t>
  </si>
  <si>
    <t>Corrección de Fisuras en la Salas Sótano 2 y Protección ante lluvias Salas Energías 2025</t>
  </si>
  <si>
    <t>Habilitación Redundancia Climatización Salas MSO SB 2025</t>
  </si>
  <si>
    <t>NETWORKING NAZCA EXPANSION 2025</t>
  </si>
  <si>
    <t>Soluciones de Capacidad y anillos FO 2025</t>
  </si>
  <si>
    <t>Ampliación y consolidación modelo de Solución de Backup 2025 - Software Backup FASE 2</t>
  </si>
  <si>
    <t>Hidrandina - Reubicación De PMI</t>
  </si>
  <si>
    <t>Habilitación Relé Falla A Tierra En LMT – Regulatorio Site Culebras 2025</t>
  </si>
  <si>
    <t>Capitalizables Menores - Repuestos De Energía ELTEK 2025</t>
  </si>
  <si>
    <t>RECUPERACION DE AUTONOMIA EN SITIOS 2025 Parte 2</t>
  </si>
  <si>
    <t>Compra de Equipamiento Internexa 2025</t>
  </si>
  <si>
    <t>EXPANSION RED DE GESTION FUERA DE BANDA 2025 Parte 2</t>
  </si>
  <si>
    <t>RED FIJA MULTISERVICIOS AMT 2025</t>
  </si>
  <si>
    <t>Capacidad  PE-CORE a DC 5G 2025</t>
  </si>
  <si>
    <t>Ampliación capacidad Service Assurance para Red Movil en SEQ 2025</t>
  </si>
  <si>
    <t>Modernización Red Datacenters a solución IP Fabric 2025</t>
  </si>
  <si>
    <t>Ampliación y consolidación modelo de Solución de Backup 2025</t>
  </si>
  <si>
    <t>Renovación tecnológica PE-RAN 2025 + Extra_AGG</t>
  </si>
  <si>
    <t>IMPLEMENTACION D2C EN ENTITLEMENT CASO APPLE 2025</t>
  </si>
  <si>
    <t>ANILLOS DE PREAGREGACION 2025</t>
  </si>
  <si>
    <t>IMPLEMENTACION SEGURIDAD PERIMETRAL MOVIL 2025</t>
  </si>
  <si>
    <t>GPON HOGAR 2025</t>
  </si>
  <si>
    <t>GPON EMPRESAS B2B 2025</t>
  </si>
  <si>
    <t>EMPRESAS FIJO - STARLINK 2025</t>
  </si>
  <si>
    <t>Optimización de espacio en torre - 2025 - CANCELADO</t>
  </si>
  <si>
    <t>D2C-2025</t>
  </si>
  <si>
    <t>Capacitación Vodafone - 2025</t>
  </si>
  <si>
    <t>Correctivos adicionales O&amp;M Core - 2025</t>
  </si>
  <si>
    <t>Soporte y Mantenimiento Licencias F5- PAM  2025</t>
  </si>
  <si>
    <t>Soporte y Mantenimiento Licencias VEEAM - PAM 2025</t>
  </si>
  <si>
    <t>Mantenimiento TTM - 2025</t>
  </si>
  <si>
    <t>IPT CANON 2025</t>
  </si>
  <si>
    <t>Tramites municipales - 2025</t>
  </si>
  <si>
    <t>Soporte Actividades de Ing. Red de Acceso - 2025</t>
  </si>
  <si>
    <t>Servicio de actas  - B2B - 2025</t>
  </si>
  <si>
    <t>TSS fallidos GPON EMPRESA - B2B - 2025</t>
  </si>
  <si>
    <t>Proyecto de contingencia La Victoria - B2C - 2025</t>
  </si>
  <si>
    <t>Costos inicio de Operación Home - B2C - 2025</t>
  </si>
  <si>
    <t>WiFi Design Enterprise - B2C - 2025</t>
  </si>
  <si>
    <t>Licencia Genesys - B2C - 2025</t>
  </si>
  <si>
    <t>TSS fallidos GPON HOGAR - B2C -2025</t>
  </si>
  <si>
    <t>Averias BAFI - 2025</t>
  </si>
  <si>
    <t>PLAYAS 2025</t>
  </si>
  <si>
    <t>RANCO TDD 2025 - FASE 2 2025</t>
  </si>
  <si>
    <t>REUBICACION SITIOS 5G 2.3 2025</t>
  </si>
  <si>
    <t>REFUERZO CENTROS COMERCIALES 2025</t>
  </si>
  <si>
    <t>RENOVACION DE PC NOC 2025</t>
  </si>
  <si>
    <t>EQUIPAMIENTO SMARTCARE PARA SVC Y IMS 2025</t>
  </si>
  <si>
    <t>DESPLIEGUE DE LAB 5G SA (VOZ+DATOS) 2025</t>
  </si>
  <si>
    <t>EXPANSION DIGITAL TWIN 2025</t>
  </si>
  <si>
    <t>ON DEVICE PRICING &amp; CONTENT: ANDROID Y APPLE CHILE/PERÚ</t>
  </si>
  <si>
    <t>REEMPLAZO POWER MANAGER ASCO 5200 MSO SAN BORJA 2025</t>
  </si>
  <si>
    <t>SERVICIO DE PROVISION 2025</t>
  </si>
  <si>
    <t>Cambios y acondicionamientos en NOC - 2025</t>
  </si>
  <si>
    <t>Averías GPON B2B - Avanzados - 2025</t>
  </si>
  <si>
    <t>PROYECTOS</t>
  </si>
  <si>
    <t>GERENCIA</t>
  </si>
  <si>
    <t>PROYECTOS CG</t>
  </si>
  <si>
    <t>GERENCIA CG</t>
  </si>
  <si>
    <t>CRA FIJA B2B 2024</t>
  </si>
  <si>
    <t>CRA FIJA WHOLESALE 2024</t>
  </si>
  <si>
    <t>RENOVACIÓN VAS UNIFICADO</t>
  </si>
  <si>
    <t>REGULARIZACIÓN DE LICENCIAS 2024</t>
  </si>
  <si>
    <t>ADECUACIONES DE IMPLEMENTACIÓN PROYECTOS CORE</t>
  </si>
  <si>
    <t>ONETOUCH 2024</t>
  </si>
  <si>
    <t>DECOUPLE2.0 2024</t>
  </si>
  <si>
    <t>Alquiler de postería Entel B2C - 2024</t>
  </si>
  <si>
    <t>SOP056 - Servicio de Roaming Testing - 2024</t>
  </si>
  <si>
    <t>Ciberseguridad Redes - 2024 ( ERROR )</t>
  </si>
  <si>
    <t>EXPANSIÓN RED DE GESTION FUERA DE BANDA</t>
  </si>
  <si>
    <t>ADMINISTRACIÓN SALAS DE REDES</t>
  </si>
  <si>
    <t>CAMBIO POR OBSOLESCENCIA SCI SALA DATA CENTER MSO SAN BORJA 2024</t>
  </si>
  <si>
    <t>CAPITALIZABLES MENORES - REPUESTOS DE ENERGIA Y CLIMA 2024</t>
  </si>
  <si>
    <t>EXPANSIÓN RED DE GESTION FUERA DE BANDA 2024</t>
  </si>
  <si>
    <t>RECUPERACION DE AUTONOMIA DE SITIOS POR ROBO DE BANCO DE BATERIAS 2024</t>
  </si>
  <si>
    <t>REFORZAMIENTO DE EDIFICACIONES PARA REGULARIZAR LICENCIAS 2024</t>
  </si>
  <si>
    <t>RENOVACIÓN DE GEP POR TIEMPO DE USO 2024</t>
  </si>
  <si>
    <t>RENOVACIÓN VAS UNIFICADO 2024</t>
  </si>
  <si>
    <t>REPOSICIONES DE EQUIPOS</t>
  </si>
  <si>
    <t>WORK FLOW DE PROYECTOS GCIR 2024</t>
  </si>
  <si>
    <t>AUTOMATIZACION DEL PROCESO DE INTEGRACION DE TRANSPORTE 2024</t>
  </si>
  <si>
    <t>VULNERABILIDAD RED PLANTA EXTERNA 2024</t>
  </si>
  <si>
    <t>MIRAFLORES - CORRECTIVOS EN TANQUE 2024</t>
  </si>
  <si>
    <t>FACILITIES MSOS Y RSOS Y AGREGADORES</t>
  </si>
  <si>
    <t>FACTIBILIZADOR DE IMPLEMENTACIÓN 2024</t>
  </si>
  <si>
    <t>OPTIMIZACIÓN DE ESPACIO EN TORRE - REDUCCIÓN OPEX</t>
  </si>
  <si>
    <t>OPTIMIZACIÓN DE ESPACIO EN TORRE - REDUCCIÓN OPEX 2024</t>
  </si>
  <si>
    <t>REORDENAMIENTO DE SITIOS</t>
  </si>
  <si>
    <t>AMPLIACION DE CAPACIDAD STARLINK</t>
  </si>
  <si>
    <t>ANILLOS DE PREAGREGACION CAPACIDAD 5G LIMA</t>
  </si>
  <si>
    <t>CRA FIJA B2B</t>
  </si>
  <si>
    <t>DESPLIEGUE INBUILDING 2025</t>
  </si>
  <si>
    <t>HERRAMIENTA DE DISEÑO Y GEOLOCALIZACIÓN 2024</t>
  </si>
  <si>
    <t>HERRAMIENTA SON</t>
  </si>
  <si>
    <t>INTELIGENCIA ARTIFICAL (IA)</t>
  </si>
  <si>
    <t>LICENCIAS 1900</t>
  </si>
  <si>
    <t>REEMPLAZO STARLINK DE SITIOS</t>
  </si>
  <si>
    <t>REGULATORIOS 2.3 (GU7)]</t>
  </si>
  <si>
    <t>RUTAS DORSALES 2023</t>
  </si>
  <si>
    <t>SERVICIO DE CONSULTORÍA PARA LABORATORIO, DISEÑO, HOMOLOGACIÓN Y PRUEBAS.</t>
  </si>
  <si>
    <t>SERVICIO DE CONSULTORÍA PARA LABORATORIO, DISEÑO, HOMOLOGACIÓN Y PRUEBAS. 2024</t>
  </si>
  <si>
    <t>TRIAL SWITCH ACCCESO</t>
  </si>
  <si>
    <t>VULNERABILIDAD RED PLANTA EXTERNA 2025</t>
  </si>
  <si>
    <t>Plataforma digital para mejora de APT700 - Autin</t>
  </si>
  <si>
    <t>STARLINK FEATURES - ACCESO</t>
  </si>
  <si>
    <t>PLATAFORMA -VISIBILIDAD ACTIVA TRÁFICO DE DATOS</t>
  </si>
  <si>
    <t>AMPLIACIÓN DE CAPACIDAD DEL EIR</t>
  </si>
  <si>
    <t>AMPLIACIÓN DE CORE FIJO</t>
  </si>
  <si>
    <t>AMPLIACIÓN DE PLATAFORMAS ROAMING</t>
  </si>
  <si>
    <t>AMPLIACIÓN GRANJA FIJO</t>
  </si>
  <si>
    <t>AMPLIACIÓN INFRAESTRUCTURA - CALIDAD</t>
  </si>
  <si>
    <t>CAPACIDAD DE RESPALDO FO SUBARINA SUR Y NORTE</t>
  </si>
  <si>
    <t>CGNAT FIJO CON SEGURIDAD 2024</t>
  </si>
  <si>
    <t>CONSOLIDACIÓN CONTROLADORES 2G Y 3G</t>
  </si>
  <si>
    <t>CRECIMIENTO PLATAFORMA DNS​</t>
  </si>
  <si>
    <t>DESPLIEGUE FO E INTERCONEXIÓN DE PE-COM Y OLT (ODI)</t>
  </si>
  <si>
    <t>DESPLIEGUE INFRA MULTIVENDOR</t>
  </si>
  <si>
    <t>EQUIPO TRIPLE A + TR069 2023</t>
  </si>
  <si>
    <t>ESTUDIOS PARA IMPLEMENTACION SERVICIO TELEVISION</t>
  </si>
  <si>
    <t>EXPANSIÓN DWDM RED CORE RED GPON</t>
  </si>
  <si>
    <t>EXPANSIÓN DWDM RED FIJA MULTISERVICIOS</t>
  </si>
  <si>
    <t>FIREWALL DE SEÑALIZACIÓN PARA ROAMING</t>
  </si>
  <si>
    <t>GESTOR DE PARCHES CENTRALIZADO​</t>
  </si>
  <si>
    <t>GPON OPERADOR NEUTRAL 2024</t>
  </si>
  <si>
    <t>HABILITACIÓN DWDM/OTN NODOS CORE MPLS</t>
  </si>
  <si>
    <t>IMPLEMENTACIÓN 5G SA</t>
  </si>
  <si>
    <t>IMPLEMENTACION DE PLATAFORMA WAF Y  WAAP​</t>
  </si>
  <si>
    <t>IMPLEMENTACIÓN DE UN SISTEMA DE RESPALDO CENTRALIZADO  2024</t>
  </si>
  <si>
    <t>IMPLENTACION Y MIGRACION NUEVA DMZ​</t>
  </si>
  <si>
    <t>IMPLMENTACIÓN AD REDES  2024</t>
  </si>
  <si>
    <t>MICROSEGMETACION DE LA RED INTERNA​</t>
  </si>
  <si>
    <t>MIGRACIÓN DE LOS SERVICIOS VOZ FIJO (EMPRESAS)</t>
  </si>
  <si>
    <t>MIGRACIÓN DE SERVICIOS FIJOS A IMS</t>
  </si>
  <si>
    <t>MODERNIZACIÓN 5G CORE PARA APN CORPORATIVAS</t>
  </si>
  <si>
    <t>MODERNIZACIÓN CORE VOZ LEGACY</t>
  </si>
  <si>
    <t>MODERNIZACIÓN GESTOR DE GESTORES</t>
  </si>
  <si>
    <t>MODERNIZACIÓN PLATAFORMA AUTOMATIZACIÓN</t>
  </si>
  <si>
    <t>MODERNIZACIÓN SMARTCARE</t>
  </si>
  <si>
    <t>NUEVA SALIDA INTERNET NORTE 2024</t>
  </si>
  <si>
    <t>NUEVO FIREWALL PARA RAN SHARING​</t>
  </si>
  <si>
    <t>NUEVOS P-CORE NORTE Y SUR  2024</t>
  </si>
  <si>
    <t>RENOVACIÓN DE DNS</t>
  </si>
  <si>
    <t>RENOVACIÓN DE EQUIPOS EOS – RED METRO AMT 2024</t>
  </si>
  <si>
    <t>RENOVACIÓN DE FIREWALL 2024</t>
  </si>
  <si>
    <t>SEGMENTACIÓN DE RED  2024</t>
  </si>
  <si>
    <t>SEGURIDAD PERIMETRAL 2024</t>
  </si>
  <si>
    <t>SERVICIOS PREFESIONALES-EXPERIS</t>
  </si>
  <si>
    <t>SOLUCIÓN SEGURIDAD NFVI HUAWEI  2024</t>
  </si>
  <si>
    <t>SOLUCION SEGURIDAD TERMINALES CORPORATIVOS  2024</t>
  </si>
  <si>
    <t>SOLUCIONES DE OPERACIÓN SEGURA  2024</t>
  </si>
  <si>
    <t>SOLUCIONES PASSWORD SEGURO  2024</t>
  </si>
  <si>
    <t>Ampliación Smartcare 2024 – Pyt DRA</t>
  </si>
  <si>
    <t>Adecuaciones Starlink – CORE</t>
  </si>
  <si>
    <t>COMPRA TARJETAS CGNAT MOVIL</t>
  </si>
  <si>
    <t>Adecuación de Exclusa de GE</t>
  </si>
  <si>
    <t>AMPLIACIÓN DE SISTEMA DE MONITOREO DE FO EN PROVINCIAS - 2024</t>
  </si>
  <si>
    <t>Cambio de 4 AA por temas Ambientales</t>
  </si>
  <si>
    <t>Cambio de Planta Inversora MSO SB</t>
  </si>
  <si>
    <t>Cambio de Planta Inversora MSO Miraflores</t>
  </si>
  <si>
    <t>Cambio de Planta Rectificadora MSO SB</t>
  </si>
  <si>
    <t>Cambio de Planta Rectificadora MSO Miraflores</t>
  </si>
  <si>
    <t>Cambio de Sistema de Combustible GE de SB</t>
  </si>
  <si>
    <t>Cambio de Tanque Interno GE2  MSO Miraflores</t>
  </si>
  <si>
    <t>Implementación 2do Ramal Switchgear MSO SB</t>
  </si>
  <si>
    <t>Insonorizado Unidades Condensadoras MSO SB</t>
  </si>
  <si>
    <t>MANTENIMIENTO - INTEGRAL DE TORRES 2024</t>
  </si>
  <si>
    <t>MANTENIMIENTO MAYOR DE GE 2024</t>
  </si>
  <si>
    <t>MIRAFLORES - ARREGLO DUCTOS DE LOS 03 SISTEMAS DE CLIMA - SALA REDES</t>
  </si>
  <si>
    <t>MIRAFLORES - CAMBIO TABLERO DE CONTROL DEL SISTEMA VESDA</t>
  </si>
  <si>
    <t>MIRAFLORES - INSTALACIÓN DE BATERIAS</t>
  </si>
  <si>
    <t>MIRAFLORES - SISTEMA CONTRA INCENDIO (SCI) EN SALA ATS RAMAL B</t>
  </si>
  <si>
    <t>Reordenamiento de doble Ramal MSO Miraflores</t>
  </si>
  <si>
    <t>REPOSICIÓN PANELES SOLARES POR ROBO EN SITIOS 2024</t>
  </si>
  <si>
    <t>Nuevo Suministro BT site AN_Caraz</t>
  </si>
  <si>
    <t>SAN BORJA - CAMBIAR SISTEMA VENTILACIÓN SSEE</t>
  </si>
  <si>
    <t>SCOP de RSO, ST</t>
  </si>
  <si>
    <t>SISTEMA DE CLIMATIZACION EN SITES 2024</t>
  </si>
  <si>
    <t>SPARE UPS Huawei MSO SB</t>
  </si>
  <si>
    <t>IDEOS Parte 2 - Servicios</t>
  </si>
  <si>
    <t>CASO Rep_Southern</t>
  </si>
  <si>
    <t>CAPITALIZABLES MENORES - PLANTA EXTERNA 2024 Parte2</t>
  </si>
  <si>
    <t>NUEVA RUTA PEXT AREQUIPA ZAMAZOLA - AREQUIPA</t>
  </si>
  <si>
    <t>REUBICACIÓN PEXT SOJO SULLANA</t>
  </si>
  <si>
    <t>AMPLIACIÓN Y REUBICACIÓN DE OLTS</t>
  </si>
  <si>
    <t>CAPACIDAD ENLACE INTERNEXA</t>
  </si>
  <si>
    <t>Implementación solución Service Assurance para Red Movil en Provincia 1 2025</t>
  </si>
  <si>
    <t>% cumplimiento FCST</t>
  </si>
  <si>
    <t>Forecast</t>
  </si>
  <si>
    <t>SOLPE ORIGINAL</t>
  </si>
  <si>
    <t>Enero - OC</t>
  </si>
  <si>
    <t>Febrero - OC</t>
  </si>
  <si>
    <t>Marzo - OC</t>
  </si>
  <si>
    <t>Abril - OC</t>
  </si>
  <si>
    <t>Mayo - OC</t>
  </si>
  <si>
    <t>Junio - OC</t>
  </si>
  <si>
    <t>Julio - OC</t>
  </si>
  <si>
    <t>Agosto - OC</t>
  </si>
  <si>
    <t>Setiembre - OC</t>
  </si>
  <si>
    <t>Octubre - OC</t>
  </si>
  <si>
    <t>Noviembre - OC</t>
  </si>
  <si>
    <t>Diciembre - OC</t>
  </si>
  <si>
    <t>Enero - AC</t>
  </si>
  <si>
    <t>Febrero - AC</t>
  </si>
  <si>
    <t>Marzo - AC</t>
  </si>
  <si>
    <t>Abril - AC</t>
  </si>
  <si>
    <t>Mayo - AC</t>
  </si>
  <si>
    <t>Junio - AC</t>
  </si>
  <si>
    <t>Julio - AC</t>
  </si>
  <si>
    <t>Agosto - AC</t>
  </si>
  <si>
    <t>Setiembre - AC</t>
  </si>
  <si>
    <t>Octubre - AC</t>
  </si>
  <si>
    <t>Noviembre - AC</t>
  </si>
  <si>
    <t>Diciembre - AC</t>
  </si>
  <si>
    <t>Enero - Facturado</t>
  </si>
  <si>
    <t>Febrero - Facturado</t>
  </si>
  <si>
    <t>Marzo - Facturado</t>
  </si>
  <si>
    <t>Abril - Facturado</t>
  </si>
  <si>
    <t>Mayo - Facturado</t>
  </si>
  <si>
    <t>Junio - Facturado</t>
  </si>
  <si>
    <t>Julio - Facturado</t>
  </si>
  <si>
    <t>Agosto - Facturado</t>
  </si>
  <si>
    <t>Setiembre - Facturado</t>
  </si>
  <si>
    <t>Octubre - Facturado</t>
  </si>
  <si>
    <t>Noviembre - Facturado</t>
  </si>
  <si>
    <t>Diciembre - Facturado</t>
  </si>
  <si>
    <t>Enero - RQ</t>
  </si>
  <si>
    <t>Febrero - RQ</t>
  </si>
  <si>
    <t>Marzo - RQ</t>
  </si>
  <si>
    <t>Abril - RQ</t>
  </si>
  <si>
    <t>Mayo - RQ</t>
  </si>
  <si>
    <t>Junio - RQ</t>
  </si>
  <si>
    <t>Julio - RQ</t>
  </si>
  <si>
    <t>Agosto - RQ</t>
  </si>
  <si>
    <t>Setiembre - RQ</t>
  </si>
  <si>
    <t>Octubre - RQ</t>
  </si>
  <si>
    <t>Noviembre - RQ</t>
  </si>
  <si>
    <t>Diciembre - RQ</t>
  </si>
  <si>
    <t>Llave2</t>
  </si>
  <si>
    <t>Ptto Disponible</t>
  </si>
  <si>
    <t>Exceso/Por comprometer</t>
  </si>
  <si>
    <t>ENERO FCST 2+10</t>
  </si>
  <si>
    <t>FEBRERO FCST 2+10</t>
  </si>
  <si>
    <t>MARZO FCST 2+10</t>
  </si>
  <si>
    <t>ABRIL FCST 2+10</t>
  </si>
  <si>
    <t>MAYO FCST 2+10</t>
  </si>
  <si>
    <t>JUNIO FCST 2+10</t>
  </si>
  <si>
    <t>JULIO FCST 2+10</t>
  </si>
  <si>
    <t>AGOSTO FCST 2+10</t>
  </si>
  <si>
    <t>SETIEMBRE FCST 2+10</t>
  </si>
  <si>
    <t>OCTUBRE FCST 2+10</t>
  </si>
  <si>
    <t>NOVIEMBRE FCST 2+10</t>
  </si>
  <si>
    <t>DICIEMBRE FCST 2+10</t>
  </si>
  <si>
    <t>TOTAL FCST 2+10</t>
  </si>
  <si>
    <t>ENERO CF 2+10</t>
  </si>
  <si>
    <t>FEBRERO CF 2+10</t>
  </si>
  <si>
    <t>MARZO CF 2+10</t>
  </si>
  <si>
    <t>ABRIL CF 2+10</t>
  </si>
  <si>
    <t>TOTAL CF 2+10</t>
  </si>
  <si>
    <t>ENERO FCST 3+12</t>
  </si>
  <si>
    <t>FEBRERO FCST 3+12</t>
  </si>
  <si>
    <t>MARZO FCST 3+12</t>
  </si>
  <si>
    <t>ABRIL FCST 3+12</t>
  </si>
  <si>
    <t>MAYO FCST 3+12</t>
  </si>
  <si>
    <t>JUNIO FCST 3+12</t>
  </si>
  <si>
    <t>JULIO FCST 3+12</t>
  </si>
  <si>
    <t>AGOSTO FCST 3+12</t>
  </si>
  <si>
    <t>SETIEMBRE FCST 3+12</t>
  </si>
  <si>
    <t>OCTUBRE FCST 3+12</t>
  </si>
  <si>
    <t>NOVIEMBRE FCST 3+12</t>
  </si>
  <si>
    <t>DICIEMBRE FCST 3+12</t>
  </si>
  <si>
    <t>TOTAL FCST 3+12</t>
  </si>
  <si>
    <t>ENERO CF 3+12</t>
  </si>
  <si>
    <t>FEBRERO CF 3+12</t>
  </si>
  <si>
    <t>MARZO CF 3+12</t>
  </si>
  <si>
    <t>ABRIL CF 3+12</t>
  </si>
  <si>
    <t>TOTAL CF 3+12</t>
  </si>
  <si>
    <t>ENERO FCST 6+18</t>
  </si>
  <si>
    <t>FEBRERO FCST 6+18</t>
  </si>
  <si>
    <t>MARZO FCST 6+18</t>
  </si>
  <si>
    <t>ABRIL FCST 6+18</t>
  </si>
  <si>
    <t>MAYO FCST 6+18</t>
  </si>
  <si>
    <t>JUNIO FCST 6+18</t>
  </si>
  <si>
    <t>TOTAL FCST 6+18</t>
  </si>
  <si>
    <t>ENERO CF 6+18</t>
  </si>
  <si>
    <t>FEBRERO CF 6+18</t>
  </si>
  <si>
    <t>MARZO CF 6+18</t>
  </si>
  <si>
    <t>ABRIL CF 6+18</t>
  </si>
  <si>
    <t>TOTAL CF 6+18</t>
  </si>
  <si>
    <t>ENERO FCST 9+3</t>
  </si>
  <si>
    <t>FEBRERO FCST 9+3</t>
  </si>
  <si>
    <t>MARZO FCST 9+3</t>
  </si>
  <si>
    <t>ABRIL FCST 9+3</t>
  </si>
  <si>
    <t>MAYO FCST 9+3</t>
  </si>
  <si>
    <t>JUNIO FCST 9+3</t>
  </si>
  <si>
    <t>JULIO FCST 9+3</t>
  </si>
  <si>
    <t>AGOSTO FCST 9+3</t>
  </si>
  <si>
    <t>SETIEMBRE FCST 9+3</t>
  </si>
  <si>
    <t>OCTUBRE FCST 9+3</t>
  </si>
  <si>
    <t>NOVIEMBRE FCST 9+3</t>
  </si>
  <si>
    <t>DICIEMBRE FCST 9+3</t>
  </si>
  <si>
    <t>TOTAL FCST 9+3</t>
  </si>
  <si>
    <t>ENERO CF 9+3</t>
  </si>
  <si>
    <t>FEBRERO CF 9+3</t>
  </si>
  <si>
    <t>MARZO CF 9+3</t>
  </si>
  <si>
    <t>ABRIL CF 9+3</t>
  </si>
  <si>
    <t>TOTAL CF 9+3</t>
  </si>
  <si>
    <t>ENERO FCST 10+2</t>
  </si>
  <si>
    <t>FEBRERO FCST 10+2</t>
  </si>
  <si>
    <t>MARZO FCST 10+2</t>
  </si>
  <si>
    <t>ABRIL FCST 10+2</t>
  </si>
  <si>
    <t>MAYO FCST 10+2</t>
  </si>
  <si>
    <t>JUNIO FCST 10+2</t>
  </si>
  <si>
    <t>JULIO FCST 10+2</t>
  </si>
  <si>
    <t>AGOSTO FCST 10+2</t>
  </si>
  <si>
    <t>SETIEMBRE FCST 10+2</t>
  </si>
  <si>
    <t>OCTUBRE FCST 10+2</t>
  </si>
  <si>
    <t>NOVIEMBRE FCST 10+2</t>
  </si>
  <si>
    <t>DICIEMBRE FCST 10+2</t>
  </si>
  <si>
    <t>TOTAL FCST 10+2</t>
  </si>
  <si>
    <t>ENERO CF 10+2</t>
  </si>
  <si>
    <t>FEBRERO CF 10+2</t>
  </si>
  <si>
    <t>MARZO CF 10+2</t>
  </si>
  <si>
    <t>ABRIL CF 10+2</t>
  </si>
  <si>
    <t>TOTAL CF 10+2</t>
  </si>
  <si>
    <t>Enero</t>
  </si>
  <si>
    <t>Dic 25 - OC</t>
  </si>
  <si>
    <t>Dic 25 - AC</t>
  </si>
  <si>
    <t>Dic 25 - Facturado</t>
  </si>
  <si>
    <t>Dic 25 - RQ</t>
  </si>
  <si>
    <t>ENERO PLAN</t>
  </si>
  <si>
    <t>FEBRERO PLAN</t>
  </si>
  <si>
    <t>MARZO PLAN</t>
  </si>
  <si>
    <t>ABRIL PLAN</t>
  </si>
  <si>
    <t>MAYO PLAN</t>
  </si>
  <si>
    <t>JUNIO PLAN</t>
  </si>
  <si>
    <t>JULIO PLAN</t>
  </si>
  <si>
    <t>AGOSTO PLAN</t>
  </si>
  <si>
    <t>SETIEMBRE PLAN</t>
  </si>
  <si>
    <t>NOVIEMBRE PLAN</t>
  </si>
  <si>
    <t>DICIEMBRE PLAN</t>
  </si>
  <si>
    <t>TOTAL PLAN</t>
  </si>
  <si>
    <t>OCTUBRE PLAN</t>
  </si>
  <si>
    <t>ENERO FCST 1+11</t>
  </si>
  <si>
    <t>FEBRERO FCST 1+11</t>
  </si>
  <si>
    <t>MARZO FCST 1+11</t>
  </si>
  <si>
    <t>ABRIL FCST 1+11</t>
  </si>
  <si>
    <t>MAYO FCST 1+11</t>
  </si>
  <si>
    <t>JUNIO FCST 1+11</t>
  </si>
  <si>
    <t>JULIO FCST 1+11</t>
  </si>
  <si>
    <t>AGOSTO FCST 1+11</t>
  </si>
  <si>
    <t>SETIEMBRE FCST 1+11</t>
  </si>
  <si>
    <t>OCTUBRE FCST 1+11</t>
  </si>
  <si>
    <t>NOVIEMBRE FCST 1+11</t>
  </si>
  <si>
    <t>DICIEMBRE FCST 1+11</t>
  </si>
  <si>
    <t>TOTAL FCST 1+11</t>
  </si>
  <si>
    <t>ENERO CF 1+11</t>
  </si>
  <si>
    <t>FEBRERO CF 1+11</t>
  </si>
  <si>
    <t>MARZO CF 1+11</t>
  </si>
  <si>
    <t>ABRIL CF 1+11</t>
  </si>
  <si>
    <t>TOTAL CF 1+11</t>
  </si>
  <si>
    <t>ENERO FCST 4+8</t>
  </si>
  <si>
    <t>FEBRERO FCST 4+8</t>
  </si>
  <si>
    <t>MARZO FCST 4+8</t>
  </si>
  <si>
    <t>ABRIL FCST 4+8</t>
  </si>
  <si>
    <t>MAYO FCST 4+8</t>
  </si>
  <si>
    <t>JUNIO FCST 4+8</t>
  </si>
  <si>
    <t>JULIO FCST 4+8</t>
  </si>
  <si>
    <t>AGOSTO FCST 4+8</t>
  </si>
  <si>
    <t>SETIEMBRE FCST 4+8</t>
  </si>
  <si>
    <t>OCTUBRE FCST 4+8</t>
  </si>
  <si>
    <t>NOVIEMBRE FCST 4+8</t>
  </si>
  <si>
    <t>DICIEMBRE FCST 4+8</t>
  </si>
  <si>
    <t>TOTAL FCST 4+8</t>
  </si>
  <si>
    <t>ENERO CF 4+8</t>
  </si>
  <si>
    <t>FEBRERO CF 4+8</t>
  </si>
  <si>
    <t>MARZO CF 4+8</t>
  </si>
  <si>
    <t>ABRIL CF 4+8</t>
  </si>
  <si>
    <t>TOTAL CF 4+8</t>
  </si>
  <si>
    <t>ENERO FCST 5+7</t>
  </si>
  <si>
    <t>FEBRERO FCST 5+7</t>
  </si>
  <si>
    <t>MARZO FCST 5+7</t>
  </si>
  <si>
    <t>ABRIL FCST 5+7</t>
  </si>
  <si>
    <t>MAYO FCST 5+7</t>
  </si>
  <si>
    <t>JUNIO FCST 5+7</t>
  </si>
  <si>
    <t>JULIO FCST 5+7</t>
  </si>
  <si>
    <t>AGOSTO FCST 5+7</t>
  </si>
  <si>
    <t>SETIEMBRE FCST 5+7</t>
  </si>
  <si>
    <t>OCTUBRE FCST 5+7</t>
  </si>
  <si>
    <t>NOVIEMBRE FCST 5+7</t>
  </si>
  <si>
    <t>DICIEMBRE FCST 5+7</t>
  </si>
  <si>
    <t>TOTAL FCST 5+7</t>
  </si>
  <si>
    <t>ENERO CF 5+7</t>
  </si>
  <si>
    <t>FEBRERO CF 5+7</t>
  </si>
  <si>
    <t>MARZO CF 5+7</t>
  </si>
  <si>
    <t>ABRIL CF 5+7</t>
  </si>
  <si>
    <t>TOTAL CF 5+7</t>
  </si>
  <si>
    <t>ENERO FCST 7+5</t>
  </si>
  <si>
    <t>FEBRERO FCST 7+5</t>
  </si>
  <si>
    <t>MARZO FCST 7+5</t>
  </si>
  <si>
    <t>ABRIL FCST 7+5</t>
  </si>
  <si>
    <t>MAYO FCST 7+5</t>
  </si>
  <si>
    <t>JUNIO FCST 7+5</t>
  </si>
  <si>
    <t>JULIO FCST 7+5</t>
  </si>
  <si>
    <t>AGOSTO FCST 7+5</t>
  </si>
  <si>
    <t>SETIEMBRE FCST 7+5</t>
  </si>
  <si>
    <t>OCTUBRE FCST 7+5</t>
  </si>
  <si>
    <t>NOVIEMBRE FCST 7+5</t>
  </si>
  <si>
    <t>DICIEMBRE FCST 7+5</t>
  </si>
  <si>
    <t>TOTAL FCST 7+5</t>
  </si>
  <si>
    <t>ENERO CF 7+5</t>
  </si>
  <si>
    <t>FEBRERO CF 7+5</t>
  </si>
  <si>
    <t>MARZO CF 7+5</t>
  </si>
  <si>
    <t>ABRIL CF 7+5</t>
  </si>
  <si>
    <t>TOTAL CF 7+5</t>
  </si>
  <si>
    <t>ENERO FCST 8+4</t>
  </si>
  <si>
    <t>FEBRERO FCST 8+4</t>
  </si>
  <si>
    <t>MARZO FCST 8+4</t>
  </si>
  <si>
    <t>ABRIL FCST 8+4</t>
  </si>
  <si>
    <t>MAYO FCST 8+4</t>
  </si>
  <si>
    <t>JUNIO FCST 8+4</t>
  </si>
  <si>
    <t>JULIO FCST 8+4</t>
  </si>
  <si>
    <t>AGOSTO FCST 8+4</t>
  </si>
  <si>
    <t>SETIEMBRE FCST 8+4</t>
  </si>
  <si>
    <t>OCTUBRE FCST 8+4</t>
  </si>
  <si>
    <t>NOVIEMBRE FCST 8+4</t>
  </si>
  <si>
    <t>DICIEMBRE FCST 8+4</t>
  </si>
  <si>
    <t>TOTAL FCST 8+4</t>
  </si>
  <si>
    <t>ENERO CF 8+4</t>
  </si>
  <si>
    <t>FEBRERO CF 8+4</t>
  </si>
  <si>
    <t>MARZO CF 8+4</t>
  </si>
  <si>
    <t>ABRIL CF 8+4</t>
  </si>
  <si>
    <t>TOTAL CF 8+4</t>
  </si>
  <si>
    <t>ENERO FCST 11+1</t>
  </si>
  <si>
    <t>FEBRERO FCST 11+1</t>
  </si>
  <si>
    <t>MARZO FCST 11+1</t>
  </si>
  <si>
    <t>ABRIL FCST 11+1</t>
  </si>
  <si>
    <t>MAYO FCST 11+1</t>
  </si>
  <si>
    <t>JUNIO FCST 11+1</t>
  </si>
  <si>
    <t>JULIO FCST 11+1</t>
  </si>
  <si>
    <t>AGOSTO FCST 11+1</t>
  </si>
  <si>
    <t>SETIEMBRE FCST 11+1</t>
  </si>
  <si>
    <t>OCTUBRE FCST 11+1</t>
  </si>
  <si>
    <t>NOVIEMBRE FCST 11+1</t>
  </si>
  <si>
    <t>DICIEMBRE FCST 11+1</t>
  </si>
  <si>
    <t>TOTAL FCST 11+1</t>
  </si>
  <si>
    <t>ENERO CF 11+1</t>
  </si>
  <si>
    <t>FEBRERO CF 11+1</t>
  </si>
  <si>
    <t>MARZO CF 11+1</t>
  </si>
  <si>
    <t>ABRIL CF 11+1</t>
  </si>
  <si>
    <t>TOTAL CF 11+1</t>
  </si>
  <si>
    <t>Plan</t>
  </si>
  <si>
    <t>Gerencia Sponsor Final</t>
  </si>
  <si>
    <t>ENERO CF PLAN</t>
  </si>
  <si>
    <t>FEBRERO CF PLAN</t>
  </si>
  <si>
    <t>MARZO CF PLAN</t>
  </si>
  <si>
    <t>ABRIL CF PLAN</t>
  </si>
  <si>
    <t>TOTAL CF PLAN</t>
  </si>
  <si>
    <t>Unidad Funcional</t>
  </si>
  <si>
    <t>Solicitado</t>
  </si>
  <si>
    <t>Trimestre Planificado</t>
  </si>
  <si>
    <t>Trimestre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</si>
</sst>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5" fillId="0" borderId="0"/>
    <xf numFmtId="9" fontId="5" fillId="0" borderId="0"/>
    <xf numFmtId="43" fontId="5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4" fontId="0" fillId="0" borderId="0" xfId="0" applyNumberFormat="1"/>
    <xf numFmtId="3" fontId="4" fillId="2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6" fillId="4" borderId="0" xfId="0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0" fontId="2" fillId="4" borderId="0" xfId="0" applyFont="1" applyFill="1"/>
    <xf numFmtId="4" fontId="4" fillId="2" borderId="0" xfId="0" applyNumberFormat="1" applyFont="1" applyFill="1" applyAlignment="1">
      <alignment horizontal="center"/>
    </xf>
    <xf numFmtId="4" fontId="3" fillId="2" borderId="0" xfId="1" applyNumberFormat="1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9" fontId="3" fillId="2" borderId="0" xfId="1" applyFont="1" applyFill="1" applyAlignment="1">
      <alignment horizontal="center"/>
    </xf>
    <xf numFmtId="3" fontId="4" fillId="2" borderId="0" xfId="0" applyNumberFormat="1" applyFont="1" applyFill="1"/>
    <xf numFmtId="0" fontId="7" fillId="3" borderId="0" xfId="0" applyFont="1" applyFill="1" applyAlignment="1">
      <alignment horizontal="center"/>
    </xf>
    <xf numFmtId="4" fontId="0" fillId="2" borderId="0" xfId="0" applyNumberFormat="1" applyFill="1"/>
    <xf numFmtId="4" fontId="6" fillId="4" borderId="0" xfId="0" applyNumberFormat="1" applyFont="1" applyFill="1" applyAlignment="1">
      <alignment horizontal="center"/>
    </xf>
    <xf numFmtId="0" fontId="0" fillId="3" borderId="0" xfId="0" applyFill="1"/>
    <xf numFmtId="0" fontId="0" fillId="5" borderId="0" xfId="0" applyFill="1"/>
    <xf numFmtId="9" fontId="0" fillId="0" borderId="0" xfId="0" applyNumberFormat="1" applyAlignment="1">
      <alignment horizontal="center"/>
    </xf>
    <xf numFmtId="0" fontId="2" fillId="6" borderId="0" xfId="0" applyFont="1" applyFill="1"/>
    <xf numFmtId="3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/>
    </xf>
    <xf numFmtId="9" fontId="0" fillId="2" borderId="0" xfId="0" applyNumberForma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4" fontId="7" fillId="3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</cellXfs>
  <cellStyles count="4">
    <cellStyle name="Millares 2" xfId="3" xr:uid="{D0897066-82C2-4F70-A36D-D98DC036B980}"/>
    <cellStyle name="Normal" xfId="0" builtinId="0"/>
    <cellStyle name="Porcentaje" xfId="1" builtinId="5"/>
    <cellStyle name="Porcentaje 2" xfId="2" xr:uid="{DD24B651-EB5F-42CD-8393-84F1740B7F61}"/>
  </cellStyles>
  <dxfs count="0"/>
  <tableStyles count="0" defaultTableStyle="TableStyleMedium2" defaultPivotStyle="PivotStyleLight16"/>
  <colors>
    <mruColors>
      <color rgb="FF7F7F7F"/>
      <color rgb="FFFF3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rgb="FFFF0000"/>
  </sheetPr>
  <dimension ref="A1:KN5"/>
  <sheetViews>
    <sheetView tabSelected="1" zoomScale="55" zoomScaleNormal="55" workbookViewId="0">
      <pane xSplit="6" ySplit="5" topLeftCell="G6" activePane="bottomRight" state="frozen"/>
      <selection pane="topRight" activeCell="F1" sqref="F1"/>
      <selection pane="bottomLeft" activeCell="A6" sqref="A6"/>
      <selection pane="bottomRight" activeCell="E5" sqref="E5"/>
    </sheetView>
  </sheetViews>
  <sheetFormatPr baseColWidth="10" defaultRowHeight="14.4" outlineLevelCol="1" x14ac:dyDescent="0.3"/>
  <cols>
    <col min="1" max="1" width="11.21875" customWidth="1"/>
    <col min="2" max="2" width="10" customWidth="1"/>
    <col min="3" max="3" width="10.44140625" customWidth="1"/>
    <col min="4" max="4" width="16.77734375" customWidth="1"/>
    <col min="5" max="5" width="36.77734375" customWidth="1"/>
    <col min="6" max="6" width="50.21875" customWidth="1"/>
    <col min="7" max="7" width="35.5546875" customWidth="1"/>
    <col min="8" max="8" width="17" style="7" bestFit="1" customWidth="1"/>
    <col min="9" max="9" width="17.77734375" style="7" bestFit="1" customWidth="1"/>
    <col min="10" max="10" width="20.21875" style="3" customWidth="1"/>
    <col min="11" max="11" width="16.77734375" style="5" bestFit="1" customWidth="1"/>
    <col min="12" max="12" width="26.77734375" style="5" bestFit="1" customWidth="1"/>
    <col min="13" max="13" width="23.44140625" style="22" bestFit="1" customWidth="1"/>
    <col min="14" max="14" width="24.77734375" style="22" bestFit="1" customWidth="1"/>
    <col min="15" max="15" width="13.77734375" style="5" bestFit="1" customWidth="1"/>
    <col min="16" max="16" width="15.5546875" style="5" hidden="1" customWidth="1" outlineLevel="1"/>
    <col min="17" max="17" width="18" style="5" hidden="1" customWidth="1" outlineLevel="1"/>
    <col min="18" max="18" width="17.77734375" style="5" customWidth="1" collapsed="1"/>
    <col min="19" max="19" width="14.21875" style="5" hidden="1" customWidth="1" outlineLevel="1"/>
    <col min="20" max="20" width="13.77734375" style="5" hidden="1" customWidth="1" outlineLevel="1"/>
    <col min="21" max="21" width="13.44140625" style="5" hidden="1" customWidth="1" outlineLevel="1"/>
    <col min="22" max="22" width="12.77734375" style="5" hidden="1" customWidth="1" outlineLevel="1"/>
    <col min="23" max="23" width="12.44140625" style="5" hidden="1" customWidth="1" outlineLevel="1"/>
    <col min="24" max="24" width="12.5546875" style="5" hidden="1" customWidth="1" outlineLevel="1"/>
    <col min="25" max="25" width="12.21875" style="5" hidden="1" customWidth="1" outlineLevel="1"/>
    <col min="26" max="26" width="14.44140625" style="5" hidden="1" customWidth="1" outlineLevel="1"/>
    <col min="27" max="27" width="13" style="5" hidden="1" customWidth="1" outlineLevel="1"/>
    <col min="28" max="28" width="12.44140625" style="5" hidden="1" customWidth="1" outlineLevel="1"/>
    <col min="29" max="29" width="12.77734375" style="5" hidden="1" customWidth="1" outlineLevel="1"/>
    <col min="30" max="30" width="12.44140625" style="5" hidden="1" customWidth="1" outlineLevel="1"/>
    <col min="31" max="31" width="15" style="5" hidden="1" customWidth="1" outlineLevel="1"/>
    <col min="32" max="32" width="18.77734375" style="5" customWidth="1" collapsed="1"/>
    <col min="33" max="33" width="18.77734375" style="5" customWidth="1"/>
    <col min="34" max="34" width="10.77734375" style="5" hidden="1" customWidth="1" outlineLevel="1"/>
    <col min="35" max="35" width="18.77734375" style="5" hidden="1" customWidth="1" outlineLevel="1"/>
    <col min="36" max="36" width="10.77734375" style="5" hidden="1" customWidth="1" outlineLevel="1"/>
    <col min="37" max="37" width="13.44140625" style="5" hidden="1" customWidth="1" outlineLevel="1"/>
    <col min="38" max="38" width="13.109375" style="5" hidden="1" customWidth="1" outlineLevel="1"/>
    <col min="39" max="39" width="14" style="5" hidden="1" customWidth="1" outlineLevel="1"/>
    <col min="40" max="40" width="12.6640625" style="5" hidden="1" customWidth="1" outlineLevel="1"/>
    <col min="41" max="41" width="15.109375" style="5" hidden="1" customWidth="1" outlineLevel="1"/>
    <col min="42" max="42" width="12.77734375" style="5" hidden="1" customWidth="1" outlineLevel="1"/>
    <col min="43" max="44" width="10.77734375" style="5" hidden="1" customWidth="1" outlineLevel="1"/>
    <col min="45" max="45" width="12.21875" style="5" hidden="1" customWidth="1" outlineLevel="1"/>
    <col min="46" max="46" width="13.5546875" style="5" hidden="1" customWidth="1" outlineLevel="1"/>
    <col min="47" max="47" width="16.5546875" style="5" customWidth="1" collapsed="1"/>
    <col min="48" max="49" width="19.21875" style="5" hidden="1" customWidth="1" outlineLevel="1"/>
    <col min="50" max="59" width="10.77734375" style="5" hidden="1" customWidth="1" outlineLevel="1"/>
    <col min="60" max="60" width="0.88671875" style="5" hidden="1" customWidth="1" outlineLevel="1"/>
    <col min="61" max="61" width="16.77734375" style="5" customWidth="1" collapsed="1"/>
    <col min="62" max="62" width="12.21875" style="5" hidden="1" customWidth="1" outlineLevel="1"/>
    <col min="63" max="63" width="21.21875" style="5" hidden="1" customWidth="1" outlineLevel="1"/>
    <col min="64" max="73" width="10.77734375" style="5" hidden="1" customWidth="1" outlineLevel="1"/>
    <col min="74" max="74" width="12.5546875" style="5" hidden="1" customWidth="1" outlineLevel="1"/>
    <col min="75" max="75" width="15.21875" style="5" customWidth="1" collapsed="1"/>
    <col min="76" max="87" width="15.21875" style="5" hidden="1" customWidth="1" outlineLevel="1"/>
    <col min="88" max="88" width="15.21875" style="5" customWidth="1" collapsed="1"/>
    <col min="89" max="92" width="15.21875" style="5" hidden="1" customWidth="1" outlineLevel="1"/>
    <col min="93" max="93" width="15.21875" style="5" customWidth="1" collapsed="1"/>
    <col min="94" max="105" width="15.21875" style="5" hidden="1" customWidth="1" outlineLevel="1"/>
    <col min="106" max="106" width="15.21875" style="5" customWidth="1" collapsed="1"/>
    <col min="107" max="110" width="15.21875" style="5" hidden="1" customWidth="1" outlineLevel="1"/>
    <col min="111" max="111" width="15.21875" style="5" customWidth="1" collapsed="1"/>
    <col min="112" max="112" width="13.77734375" style="5" hidden="1" customWidth="1" outlineLevel="1"/>
    <col min="113" max="113" width="11.5546875" style="5" hidden="1" customWidth="1" outlineLevel="1"/>
    <col min="114" max="121" width="10.77734375" style="5" hidden="1" customWidth="1" outlineLevel="1"/>
    <col min="122" max="122" width="11" style="5" hidden="1" customWidth="1" outlineLevel="1"/>
    <col min="123" max="123" width="10.77734375" style="5" hidden="1" customWidth="1" outlineLevel="1"/>
    <col min="124" max="124" width="20.77734375" style="5" customWidth="1" collapsed="1"/>
    <col min="125" max="125" width="13" style="5" hidden="1" customWidth="1" outlineLevel="1"/>
    <col min="126" max="126" width="11.6640625" style="5" hidden="1" customWidth="1" outlineLevel="1"/>
    <col min="127" max="127" width="10.77734375" style="5" hidden="1" customWidth="1" outlineLevel="1"/>
    <col min="128" max="128" width="11.44140625" style="5" hidden="1" customWidth="1" outlineLevel="1"/>
    <col min="129" max="129" width="21.77734375" style="5" customWidth="1" collapsed="1"/>
    <col min="130" max="130" width="13.21875" style="5" hidden="1" customWidth="1" outlineLevel="1"/>
    <col min="131" max="131" width="16.33203125" style="5" hidden="1" customWidth="1" outlineLevel="1"/>
    <col min="132" max="132" width="12.5546875" style="5" hidden="1" customWidth="1" outlineLevel="1"/>
    <col min="133" max="134" width="13.21875" style="5" hidden="1" customWidth="1" outlineLevel="1"/>
    <col min="135" max="135" width="11.77734375" style="5" hidden="1" customWidth="1" outlineLevel="1"/>
    <col min="136" max="137" width="13.21875" style="5" hidden="1" customWidth="1" outlineLevel="1"/>
    <col min="138" max="140" width="10.77734375" style="5" hidden="1" customWidth="1" outlineLevel="1"/>
    <col min="141" max="141" width="12.5546875" style="5" hidden="1" customWidth="1" outlineLevel="1"/>
    <col min="142" max="142" width="18.5546875" style="5" customWidth="1" collapsed="1"/>
    <col min="143" max="143" width="14.44140625" style="5" hidden="1" customWidth="1" outlineLevel="1"/>
    <col min="144" max="144" width="26" style="5" hidden="1" customWidth="1" outlineLevel="1"/>
    <col min="145" max="145" width="13.5546875" style="5" hidden="1" customWidth="1" outlineLevel="1"/>
    <col min="146" max="146" width="11.77734375" style="5" hidden="1" customWidth="1" outlineLevel="1"/>
    <col min="147" max="147" width="22.109375" style="5" customWidth="1" collapsed="1"/>
    <col min="148" max="148" width="17.5546875" style="5" hidden="1" customWidth="1" outlineLevel="1"/>
    <col min="149" max="149" width="18.21875" style="5" hidden="1" customWidth="1" outlineLevel="1"/>
    <col min="150" max="150" width="18.6640625" style="5" hidden="1" customWidth="1" outlineLevel="1"/>
    <col min="151" max="151" width="18.44140625" style="5" hidden="1" customWidth="1" outlineLevel="1"/>
    <col min="152" max="152" width="17.5546875" style="5" hidden="1" customWidth="1" outlineLevel="1"/>
    <col min="153" max="153" width="15.5546875" style="5" hidden="1" customWidth="1" outlineLevel="1"/>
    <col min="154" max="154" width="17.21875" style="5" hidden="1" customWidth="1" outlineLevel="1"/>
    <col min="155" max="155" width="16.77734375" style="5" hidden="1" customWidth="1" outlineLevel="1"/>
    <col min="156" max="156" width="17" style="5" hidden="1" customWidth="1" outlineLevel="1"/>
    <col min="157" max="157" width="17.88671875" style="5" hidden="1" customWidth="1" outlineLevel="1"/>
    <col min="158" max="158" width="16.77734375" style="5" hidden="1" customWidth="1" outlineLevel="1"/>
    <col min="159" max="159" width="15.33203125" style="5" hidden="1" customWidth="1" outlineLevel="1"/>
    <col min="160" max="160" width="18.21875" style="5" customWidth="1" collapsed="1"/>
    <col min="161" max="164" width="22.109375" style="5" hidden="1" customWidth="1" outlineLevel="1"/>
    <col min="165" max="165" width="22.109375" style="5" customWidth="1" collapsed="1"/>
    <col min="166" max="177" width="22.109375" style="5" hidden="1" customWidth="1" outlineLevel="1"/>
    <col min="178" max="178" width="22.109375" style="5" customWidth="1" collapsed="1"/>
    <col min="179" max="182" width="22.109375" style="5" hidden="1" customWidth="1" outlineLevel="1"/>
    <col min="183" max="183" width="22.109375" style="5" customWidth="1" collapsed="1"/>
    <col min="184" max="184" width="14.88671875" style="5" hidden="1" customWidth="1" outlineLevel="1"/>
    <col min="185" max="185" width="16" style="5" hidden="1" customWidth="1" outlineLevel="1"/>
    <col min="186" max="186" width="13.5546875" style="3" hidden="1" customWidth="1" outlineLevel="1"/>
    <col min="187" max="194" width="10.77734375" style="3" hidden="1" customWidth="1" outlineLevel="1"/>
    <col min="195" max="195" width="11.5546875" style="3" hidden="1" customWidth="1" outlineLevel="1"/>
    <col min="196" max="196" width="21.44140625" style="10" customWidth="1" collapsed="1"/>
    <col min="197" max="197" width="13.21875" style="10" hidden="1" customWidth="1" outlineLevel="1"/>
    <col min="198" max="198" width="15.77734375" style="10" hidden="1" customWidth="1" outlineLevel="1"/>
    <col min="199" max="199" width="10.77734375" style="10" hidden="1" customWidth="1" outlineLevel="1"/>
    <col min="200" max="200" width="11.21875" style="10" hidden="1" customWidth="1" outlineLevel="1"/>
    <col min="201" max="201" width="21.109375" style="10" customWidth="1" collapsed="1"/>
    <col min="202" max="213" width="21.109375" style="10" hidden="1" customWidth="1" outlineLevel="1"/>
    <col min="214" max="214" width="21.109375" style="10" customWidth="1" collapsed="1"/>
    <col min="215" max="218" width="21.109375" style="10" hidden="1" customWidth="1" outlineLevel="1"/>
    <col min="219" max="219" width="21.109375" style="10" customWidth="1" collapsed="1"/>
    <col min="220" max="231" width="21.109375" style="10" hidden="1" customWidth="1" outlineLevel="1"/>
    <col min="232" max="232" width="21.109375" style="10" customWidth="1" collapsed="1"/>
    <col min="233" max="236" width="21.109375" style="10" hidden="1" customWidth="1" outlineLevel="1"/>
    <col min="237" max="237" width="21.109375" style="10" customWidth="1" collapsed="1"/>
    <col min="238" max="238" width="12.77734375" style="10" hidden="1" customWidth="1" outlineLevel="1"/>
    <col min="239" max="239" width="16.77734375" style="10" hidden="1" customWidth="1" outlineLevel="1"/>
    <col min="240" max="240" width="13.77734375" style="10" hidden="1" customWidth="1" outlineLevel="1"/>
    <col min="241" max="248" width="10.77734375" style="10" hidden="1" customWidth="1" outlineLevel="1"/>
    <col min="249" max="249" width="14.21875" style="10" hidden="1" customWidth="1" outlineLevel="1"/>
    <col min="250" max="250" width="18" style="10" customWidth="1" collapsed="1"/>
    <col min="251" max="251" width="12.5546875" style="10" hidden="1" customWidth="1" outlineLevel="1"/>
    <col min="252" max="252" width="13.88671875" style="10" hidden="1" customWidth="1" outlineLevel="1"/>
    <col min="253" max="254" width="10.77734375" style="10" hidden="1" customWidth="1" outlineLevel="1"/>
    <col min="255" max="255" width="21.33203125" style="10" customWidth="1" collapsed="1"/>
    <col min="256" max="267" width="10.88671875" hidden="1" customWidth="1" outlineLevel="1"/>
    <col min="268" max="268" width="17" customWidth="1" collapsed="1"/>
    <col min="269" max="272" width="10.88671875" hidden="1" customWidth="1" outlineLevel="1"/>
    <col min="273" max="273" width="16.33203125" customWidth="1" collapsed="1"/>
    <col min="274" max="285" width="16.33203125" hidden="1" customWidth="1" outlineLevel="1"/>
    <col min="286" max="286" width="16.33203125" customWidth="1" collapsed="1"/>
    <col min="287" max="290" width="16.33203125" hidden="1" customWidth="1" outlineLevel="1"/>
    <col min="291" max="291" width="16.33203125" customWidth="1" collapsed="1"/>
    <col min="292" max="292" width="14.21875" style="10" customWidth="1"/>
    <col min="293" max="293" width="26.77734375" style="5" customWidth="1"/>
    <col min="294" max="294" width="19.21875" style="5" customWidth="1"/>
    <col min="295" max="295" width="28.21875" customWidth="1"/>
    <col min="296" max="296" width="19.33203125" customWidth="1"/>
    <col min="297" max="297" width="20.77734375" customWidth="1"/>
    <col min="299" max="299" width="15.21875" customWidth="1"/>
    <col min="300" max="300" width="15" customWidth="1"/>
  </cols>
  <sheetData>
    <row r="1" spans="1:300" x14ac:dyDescent="0.3">
      <c r="A1" s="1"/>
      <c r="B1" s="1"/>
      <c r="C1" s="1"/>
      <c r="D1" s="1"/>
      <c r="E1" s="1"/>
      <c r="F1" s="1"/>
      <c r="G1" s="1"/>
      <c r="H1" s="6"/>
      <c r="I1" s="6"/>
      <c r="J1" s="18"/>
      <c r="K1" s="14"/>
      <c r="L1" s="14"/>
      <c r="M1" s="27"/>
      <c r="N1" s="27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28"/>
      <c r="KG1" s="14"/>
      <c r="KH1" s="14"/>
      <c r="KI1" s="1"/>
      <c r="KJ1" s="1"/>
      <c r="KK1" s="1"/>
      <c r="KL1" s="1"/>
      <c r="KM1" s="1"/>
      <c r="KN1" s="1"/>
    </row>
    <row r="2" spans="1:300" x14ac:dyDescent="0.3">
      <c r="A2" s="14"/>
      <c r="B2" s="25"/>
      <c r="C2" s="30"/>
      <c r="D2" s="31"/>
      <c r="E2" s="31"/>
      <c r="F2" s="26"/>
      <c r="G2" s="1"/>
      <c r="H2" s="2" t="s">
        <v>1654</v>
      </c>
      <c r="I2" s="2" t="s">
        <v>1528</v>
      </c>
      <c r="J2" s="1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4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4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8"/>
      <c r="KG2" s="14"/>
      <c r="KH2" s="14"/>
      <c r="KI2" s="1"/>
      <c r="KJ2" s="1"/>
      <c r="KK2" s="1"/>
      <c r="KL2" s="1"/>
      <c r="KM2" s="1"/>
      <c r="KN2" s="1"/>
    </row>
    <row r="3" spans="1:300" x14ac:dyDescent="0.3">
      <c r="A3" s="14"/>
      <c r="B3" s="1"/>
      <c r="C3" s="1"/>
      <c r="D3" s="1"/>
      <c r="E3" s="1"/>
      <c r="F3" s="1"/>
      <c r="G3" s="1"/>
      <c r="H3" s="6"/>
      <c r="I3" s="6"/>
      <c r="J3" s="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14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8"/>
      <c r="KG3" s="14"/>
      <c r="KH3" s="14"/>
      <c r="KI3" s="1"/>
      <c r="KJ3" s="1"/>
      <c r="KK3" s="1"/>
      <c r="KL3" s="1"/>
      <c r="KM3" s="1"/>
      <c r="KN3" s="1"/>
    </row>
    <row r="4" spans="1:300" x14ac:dyDescent="0.3">
      <c r="A4" s="14"/>
      <c r="B4" s="1"/>
      <c r="C4" s="1"/>
      <c r="D4" s="1"/>
      <c r="E4" s="1"/>
      <c r="F4" s="1"/>
      <c r="G4" s="4"/>
      <c r="H4" s="6"/>
      <c r="I4" s="4"/>
      <c r="J4" s="16"/>
      <c r="K4" s="12">
        <f>SUBTOTAL(9, K6:K801)</f>
        <v>0</v>
      </c>
      <c r="L4" s="13">
        <f>SUBTOTAL(9, L6:L801)</f>
        <v>0</v>
      </c>
      <c r="M4" s="15">
        <f>IFERROR(AU4 / ROUND(O4,2),0)</f>
        <v>0</v>
      </c>
      <c r="N4" s="15">
        <f>IFERROR(AU4 / ROUND(K4,2),0)</f>
        <v>0</v>
      </c>
      <c r="O4" s="12">
        <f t="shared" ref="O4:CA4" si="0">SUBTOTAL(9, O6:O801)</f>
        <v>0</v>
      </c>
      <c r="P4" s="12">
        <f t="shared" si="0"/>
        <v>0</v>
      </c>
      <c r="Q4" s="12">
        <f t="shared" si="0"/>
        <v>0</v>
      </c>
      <c r="R4" s="14">
        <f>SUBTOTAL(9, R6:R2000)</f>
        <v>0</v>
      </c>
      <c r="S4" s="12">
        <f t="shared" si="0"/>
        <v>0</v>
      </c>
      <c r="T4" s="14">
        <f t="shared" si="0"/>
        <v>0</v>
      </c>
      <c r="U4" s="14">
        <f t="shared" si="0"/>
        <v>0</v>
      </c>
      <c r="V4" s="14">
        <f t="shared" si="0"/>
        <v>0</v>
      </c>
      <c r="W4" s="14">
        <f t="shared" si="0"/>
        <v>0</v>
      </c>
      <c r="X4" s="14">
        <f t="shared" si="0"/>
        <v>0</v>
      </c>
      <c r="Y4" s="14">
        <f t="shared" si="0"/>
        <v>0</v>
      </c>
      <c r="Z4" s="14">
        <f t="shared" si="0"/>
        <v>0</v>
      </c>
      <c r="AA4" s="14">
        <f t="shared" si="0"/>
        <v>0</v>
      </c>
      <c r="AB4" s="14">
        <f t="shared" si="0"/>
        <v>0</v>
      </c>
      <c r="AC4" s="14">
        <f t="shared" si="0"/>
        <v>0</v>
      </c>
      <c r="AD4" s="14">
        <f t="shared" si="0"/>
        <v>0</v>
      </c>
      <c r="AE4" s="14">
        <f t="shared" si="0"/>
        <v>0</v>
      </c>
      <c r="AF4" s="14">
        <f>SUBTOTAL(9, AF6:AF2000)</f>
        <v>0</v>
      </c>
      <c r="AG4" s="14">
        <f>SUBTOTAL(9, AG6:AG2000)</f>
        <v>0</v>
      </c>
      <c r="AH4" s="14">
        <f t="shared" si="0"/>
        <v>0</v>
      </c>
      <c r="AI4" s="14">
        <f t="shared" si="0"/>
        <v>0</v>
      </c>
      <c r="AJ4" s="14">
        <f t="shared" si="0"/>
        <v>0</v>
      </c>
      <c r="AK4" s="14">
        <f t="shared" si="0"/>
        <v>0</v>
      </c>
      <c r="AL4" s="14">
        <f t="shared" si="0"/>
        <v>0</v>
      </c>
      <c r="AM4" s="14">
        <f t="shared" si="0"/>
        <v>0</v>
      </c>
      <c r="AN4" s="14">
        <f t="shared" si="0"/>
        <v>0</v>
      </c>
      <c r="AO4" s="14">
        <f t="shared" si="0"/>
        <v>0</v>
      </c>
      <c r="AP4" s="14">
        <f t="shared" si="0"/>
        <v>0</v>
      </c>
      <c r="AQ4" s="14">
        <f t="shared" si="0"/>
        <v>0</v>
      </c>
      <c r="AR4" s="14">
        <f t="shared" si="0"/>
        <v>0</v>
      </c>
      <c r="AS4" s="14">
        <f t="shared" si="0"/>
        <v>0</v>
      </c>
      <c r="AT4" s="14">
        <f t="shared" si="0"/>
        <v>0</v>
      </c>
      <c r="AU4" s="14">
        <f>SUBTOTAL(9, AU6:AU2000)</f>
        <v>0</v>
      </c>
      <c r="AV4" s="14">
        <f t="shared" si="0"/>
        <v>0</v>
      </c>
      <c r="AW4" s="14">
        <f t="shared" si="0"/>
        <v>0</v>
      </c>
      <c r="AX4" s="14">
        <f t="shared" si="0"/>
        <v>0</v>
      </c>
      <c r="AY4" s="14">
        <f t="shared" si="0"/>
        <v>0</v>
      </c>
      <c r="AZ4" s="14">
        <f t="shared" si="0"/>
        <v>0</v>
      </c>
      <c r="BA4" s="14">
        <f t="shared" si="0"/>
        <v>0</v>
      </c>
      <c r="BB4" s="14">
        <f t="shared" si="0"/>
        <v>0</v>
      </c>
      <c r="BC4" s="14">
        <f t="shared" si="0"/>
        <v>0</v>
      </c>
      <c r="BD4" s="14">
        <f t="shared" si="0"/>
        <v>0</v>
      </c>
      <c r="BE4" s="14">
        <f t="shared" si="0"/>
        <v>0</v>
      </c>
      <c r="BF4" s="14">
        <f t="shared" si="0"/>
        <v>0</v>
      </c>
      <c r="BG4" s="14">
        <f t="shared" si="0"/>
        <v>0</v>
      </c>
      <c r="BH4" s="14">
        <f t="shared" si="0"/>
        <v>0</v>
      </c>
      <c r="BI4" s="12">
        <f>SUBTOTAL(9, BI6:BI2000)</f>
        <v>0</v>
      </c>
      <c r="BJ4" s="14">
        <f t="shared" si="0"/>
        <v>0</v>
      </c>
      <c r="BK4" s="14">
        <f t="shared" si="0"/>
        <v>0</v>
      </c>
      <c r="BL4" s="14">
        <f t="shared" si="0"/>
        <v>0</v>
      </c>
      <c r="BM4" s="14">
        <f t="shared" si="0"/>
        <v>0</v>
      </c>
      <c r="BN4" s="14">
        <f t="shared" si="0"/>
        <v>0</v>
      </c>
      <c r="BO4" s="14">
        <f t="shared" si="0"/>
        <v>0</v>
      </c>
      <c r="BP4" s="14">
        <f t="shared" si="0"/>
        <v>0</v>
      </c>
      <c r="BQ4" s="14">
        <f t="shared" si="0"/>
        <v>0</v>
      </c>
      <c r="BR4" s="14">
        <f t="shared" si="0"/>
        <v>0</v>
      </c>
      <c r="BS4" s="14">
        <f t="shared" si="0"/>
        <v>0</v>
      </c>
      <c r="BT4" s="14">
        <f t="shared" si="0"/>
        <v>0</v>
      </c>
      <c r="BU4" s="14">
        <f t="shared" si="0"/>
        <v>0</v>
      </c>
      <c r="BV4" s="14">
        <f t="shared" si="0"/>
        <v>0</v>
      </c>
      <c r="BW4" s="12">
        <f>SUBTOTAL(9, BW6:BW2000)</f>
        <v>0</v>
      </c>
      <c r="BX4" s="14">
        <f t="shared" si="0"/>
        <v>0</v>
      </c>
      <c r="BY4" s="14">
        <f t="shared" si="0"/>
        <v>0</v>
      </c>
      <c r="BZ4" s="14">
        <f t="shared" si="0"/>
        <v>0</v>
      </c>
      <c r="CA4" s="14">
        <f t="shared" si="0"/>
        <v>0</v>
      </c>
      <c r="CB4" s="14">
        <f t="shared" ref="CB4:EM4" si="1">SUBTOTAL(9, CB6:CB801)</f>
        <v>0</v>
      </c>
      <c r="CC4" s="14">
        <f t="shared" si="1"/>
        <v>0</v>
      </c>
      <c r="CD4" s="14">
        <f t="shared" si="1"/>
        <v>0</v>
      </c>
      <c r="CE4" s="14">
        <f t="shared" si="1"/>
        <v>0</v>
      </c>
      <c r="CF4" s="14">
        <f t="shared" si="1"/>
        <v>0</v>
      </c>
      <c r="CG4" s="14">
        <f t="shared" si="1"/>
        <v>0</v>
      </c>
      <c r="CH4" s="14">
        <f t="shared" si="1"/>
        <v>0</v>
      </c>
      <c r="CI4" s="14">
        <f t="shared" si="1"/>
        <v>0</v>
      </c>
      <c r="CJ4" s="14">
        <f t="shared" si="1"/>
        <v>0</v>
      </c>
      <c r="CK4" s="14">
        <f t="shared" si="1"/>
        <v>0</v>
      </c>
      <c r="CL4" s="14">
        <f t="shared" si="1"/>
        <v>0</v>
      </c>
      <c r="CM4" s="14">
        <f t="shared" si="1"/>
        <v>0</v>
      </c>
      <c r="CN4" s="14">
        <f t="shared" si="1"/>
        <v>0</v>
      </c>
      <c r="CO4" s="14">
        <f t="shared" si="1"/>
        <v>0</v>
      </c>
      <c r="CP4" s="14">
        <f t="shared" si="1"/>
        <v>0</v>
      </c>
      <c r="CQ4" s="14">
        <f t="shared" si="1"/>
        <v>0</v>
      </c>
      <c r="CR4" s="14">
        <f t="shared" si="1"/>
        <v>0</v>
      </c>
      <c r="CS4" s="14">
        <f t="shared" si="1"/>
        <v>0</v>
      </c>
      <c r="CT4" s="14">
        <f t="shared" si="1"/>
        <v>0</v>
      </c>
      <c r="CU4" s="14">
        <f t="shared" si="1"/>
        <v>0</v>
      </c>
      <c r="CV4" s="14">
        <f t="shared" si="1"/>
        <v>0</v>
      </c>
      <c r="CW4" s="14">
        <f t="shared" si="1"/>
        <v>0</v>
      </c>
      <c r="CX4" s="14">
        <f t="shared" si="1"/>
        <v>0</v>
      </c>
      <c r="CY4" s="14">
        <f t="shared" si="1"/>
        <v>0</v>
      </c>
      <c r="CZ4" s="14">
        <f t="shared" si="1"/>
        <v>0</v>
      </c>
      <c r="DA4" s="14">
        <f t="shared" si="1"/>
        <v>0</v>
      </c>
      <c r="DB4" s="14">
        <f t="shared" si="1"/>
        <v>0</v>
      </c>
      <c r="DC4" s="14">
        <f t="shared" si="1"/>
        <v>0</v>
      </c>
      <c r="DD4" s="14">
        <f t="shared" si="1"/>
        <v>0</v>
      </c>
      <c r="DE4" s="14">
        <f t="shared" si="1"/>
        <v>0</v>
      </c>
      <c r="DF4" s="14">
        <f t="shared" si="1"/>
        <v>0</v>
      </c>
      <c r="DG4" s="14">
        <f t="shared" si="1"/>
        <v>0</v>
      </c>
      <c r="DH4" s="14">
        <f t="shared" si="1"/>
        <v>0</v>
      </c>
      <c r="DI4" s="14">
        <f t="shared" si="1"/>
        <v>0</v>
      </c>
      <c r="DJ4" s="14">
        <f t="shared" si="1"/>
        <v>0</v>
      </c>
      <c r="DK4" s="14">
        <f t="shared" si="1"/>
        <v>0</v>
      </c>
      <c r="DL4" s="14">
        <f t="shared" si="1"/>
        <v>0</v>
      </c>
      <c r="DM4" s="14">
        <f t="shared" si="1"/>
        <v>0</v>
      </c>
      <c r="DN4" s="14">
        <f t="shared" si="1"/>
        <v>0</v>
      </c>
      <c r="DO4" s="14">
        <f t="shared" si="1"/>
        <v>0</v>
      </c>
      <c r="DP4" s="14">
        <f t="shared" si="1"/>
        <v>0</v>
      </c>
      <c r="DQ4" s="14">
        <f t="shared" si="1"/>
        <v>0</v>
      </c>
      <c r="DR4" s="14">
        <f t="shared" si="1"/>
        <v>0</v>
      </c>
      <c r="DS4" s="14">
        <f t="shared" si="1"/>
        <v>0</v>
      </c>
      <c r="DT4" s="14">
        <f t="shared" si="1"/>
        <v>0</v>
      </c>
      <c r="DU4" s="14">
        <f t="shared" si="1"/>
        <v>0</v>
      </c>
      <c r="DV4" s="14">
        <f t="shared" si="1"/>
        <v>0</v>
      </c>
      <c r="DW4" s="14">
        <f t="shared" si="1"/>
        <v>0</v>
      </c>
      <c r="DX4" s="14">
        <f t="shared" si="1"/>
        <v>0</v>
      </c>
      <c r="DY4" s="14">
        <f t="shared" si="1"/>
        <v>0</v>
      </c>
      <c r="DZ4" s="14">
        <f t="shared" si="1"/>
        <v>0</v>
      </c>
      <c r="EA4" s="14">
        <f t="shared" si="1"/>
        <v>0</v>
      </c>
      <c r="EB4" s="14">
        <f t="shared" si="1"/>
        <v>0</v>
      </c>
      <c r="EC4" s="14">
        <f t="shared" si="1"/>
        <v>0</v>
      </c>
      <c r="ED4" s="14">
        <f t="shared" si="1"/>
        <v>0</v>
      </c>
      <c r="EE4" s="14">
        <f t="shared" si="1"/>
        <v>0</v>
      </c>
      <c r="EF4" s="14">
        <f t="shared" si="1"/>
        <v>0</v>
      </c>
      <c r="EG4" s="14">
        <f t="shared" si="1"/>
        <v>0</v>
      </c>
      <c r="EH4" s="14">
        <f t="shared" si="1"/>
        <v>0</v>
      </c>
      <c r="EI4" s="14">
        <f t="shared" si="1"/>
        <v>0</v>
      </c>
      <c r="EJ4" s="14">
        <f t="shared" si="1"/>
        <v>0</v>
      </c>
      <c r="EK4" s="14">
        <f t="shared" si="1"/>
        <v>0</v>
      </c>
      <c r="EL4" s="14">
        <f t="shared" si="1"/>
        <v>0</v>
      </c>
      <c r="EM4" s="14">
        <f t="shared" si="1"/>
        <v>0</v>
      </c>
      <c r="EN4" s="14">
        <f t="shared" ref="EN4:GY4" si="2">SUBTOTAL(9, EN6:EN801)</f>
        <v>0</v>
      </c>
      <c r="EO4" s="14">
        <f t="shared" si="2"/>
        <v>0</v>
      </c>
      <c r="EP4" s="14">
        <f t="shared" si="2"/>
        <v>0</v>
      </c>
      <c r="EQ4" s="14">
        <f t="shared" si="2"/>
        <v>0</v>
      </c>
      <c r="ER4" s="14">
        <f t="shared" si="2"/>
        <v>0</v>
      </c>
      <c r="ES4" s="14">
        <f t="shared" si="2"/>
        <v>0</v>
      </c>
      <c r="ET4" s="14">
        <f t="shared" si="2"/>
        <v>0</v>
      </c>
      <c r="EU4" s="14">
        <f t="shared" si="2"/>
        <v>0</v>
      </c>
      <c r="EV4" s="14">
        <f t="shared" si="2"/>
        <v>0</v>
      </c>
      <c r="EW4" s="14">
        <f t="shared" si="2"/>
        <v>0</v>
      </c>
      <c r="EX4" s="14">
        <f t="shared" si="2"/>
        <v>0</v>
      </c>
      <c r="EY4" s="14">
        <f t="shared" si="2"/>
        <v>0</v>
      </c>
      <c r="EZ4" s="14">
        <f t="shared" si="2"/>
        <v>0</v>
      </c>
      <c r="FA4" s="14">
        <f t="shared" si="2"/>
        <v>0</v>
      </c>
      <c r="FB4" s="14">
        <f t="shared" si="2"/>
        <v>0</v>
      </c>
      <c r="FC4" s="14">
        <f t="shared" si="2"/>
        <v>0</v>
      </c>
      <c r="FD4" s="14">
        <f t="shared" si="2"/>
        <v>0</v>
      </c>
      <c r="FE4" s="14">
        <f t="shared" si="2"/>
        <v>0</v>
      </c>
      <c r="FF4" s="14">
        <f t="shared" si="2"/>
        <v>0</v>
      </c>
      <c r="FG4" s="14">
        <f t="shared" si="2"/>
        <v>0</v>
      </c>
      <c r="FH4" s="14">
        <f t="shared" si="2"/>
        <v>0</v>
      </c>
      <c r="FI4" s="14">
        <f t="shared" si="2"/>
        <v>0</v>
      </c>
      <c r="FJ4" s="14">
        <f t="shared" si="2"/>
        <v>0</v>
      </c>
      <c r="FK4" s="14">
        <f t="shared" si="2"/>
        <v>0</v>
      </c>
      <c r="FL4" s="14">
        <f t="shared" si="2"/>
        <v>0</v>
      </c>
      <c r="FM4" s="14">
        <f t="shared" si="2"/>
        <v>0</v>
      </c>
      <c r="FN4" s="14">
        <f t="shared" si="2"/>
        <v>0</v>
      </c>
      <c r="FO4" s="14">
        <f t="shared" si="2"/>
        <v>0</v>
      </c>
      <c r="FP4" s="14">
        <f t="shared" si="2"/>
        <v>0</v>
      </c>
      <c r="FQ4" s="14">
        <f t="shared" si="2"/>
        <v>0</v>
      </c>
      <c r="FR4" s="14">
        <f t="shared" si="2"/>
        <v>0</v>
      </c>
      <c r="FS4" s="14">
        <f t="shared" si="2"/>
        <v>0</v>
      </c>
      <c r="FT4" s="14">
        <f t="shared" si="2"/>
        <v>0</v>
      </c>
      <c r="FU4" s="14">
        <f t="shared" si="2"/>
        <v>0</v>
      </c>
      <c r="FV4" s="14">
        <f t="shared" si="2"/>
        <v>0</v>
      </c>
      <c r="FW4" s="14">
        <f t="shared" si="2"/>
        <v>0</v>
      </c>
      <c r="FX4" s="14">
        <f t="shared" si="2"/>
        <v>0</v>
      </c>
      <c r="FY4" s="14">
        <f t="shared" si="2"/>
        <v>0</v>
      </c>
      <c r="FZ4" s="14">
        <f t="shared" si="2"/>
        <v>0</v>
      </c>
      <c r="GA4" s="14">
        <f t="shared" si="2"/>
        <v>0</v>
      </c>
      <c r="GB4" s="14">
        <f t="shared" si="2"/>
        <v>0</v>
      </c>
      <c r="GC4" s="14">
        <f t="shared" si="2"/>
        <v>0</v>
      </c>
      <c r="GD4" s="14">
        <f t="shared" si="2"/>
        <v>0</v>
      </c>
      <c r="GE4" s="14">
        <f t="shared" si="2"/>
        <v>0</v>
      </c>
      <c r="GF4" s="14">
        <f t="shared" si="2"/>
        <v>0</v>
      </c>
      <c r="GG4" s="14">
        <f t="shared" si="2"/>
        <v>0</v>
      </c>
      <c r="GH4" s="14">
        <f t="shared" si="2"/>
        <v>0</v>
      </c>
      <c r="GI4" s="14">
        <f t="shared" si="2"/>
        <v>0</v>
      </c>
      <c r="GJ4" s="14">
        <f t="shared" si="2"/>
        <v>0</v>
      </c>
      <c r="GK4" s="14">
        <f t="shared" si="2"/>
        <v>0</v>
      </c>
      <c r="GL4" s="14">
        <f t="shared" si="2"/>
        <v>0</v>
      </c>
      <c r="GM4" s="14">
        <f t="shared" si="2"/>
        <v>0</v>
      </c>
      <c r="GN4" s="14">
        <f t="shared" si="2"/>
        <v>0</v>
      </c>
      <c r="GO4" s="14">
        <f t="shared" si="2"/>
        <v>0</v>
      </c>
      <c r="GP4" s="14">
        <f t="shared" si="2"/>
        <v>0</v>
      </c>
      <c r="GQ4" s="14">
        <f t="shared" si="2"/>
        <v>0</v>
      </c>
      <c r="GR4" s="14">
        <f t="shared" si="2"/>
        <v>0</v>
      </c>
      <c r="GS4" s="14">
        <f t="shared" si="2"/>
        <v>0</v>
      </c>
      <c r="GT4" s="14">
        <f t="shared" si="2"/>
        <v>0</v>
      </c>
      <c r="GU4" s="14">
        <f t="shared" si="2"/>
        <v>0</v>
      </c>
      <c r="GV4" s="14">
        <f t="shared" si="2"/>
        <v>0</v>
      </c>
      <c r="GW4" s="14">
        <f t="shared" si="2"/>
        <v>0</v>
      </c>
      <c r="GX4" s="14">
        <f t="shared" si="2"/>
        <v>0</v>
      </c>
      <c r="GY4" s="14">
        <f t="shared" si="2"/>
        <v>0</v>
      </c>
      <c r="GZ4" s="14">
        <f t="shared" ref="GZ4:JK4" si="3">SUBTOTAL(9, GZ6:GZ801)</f>
        <v>0</v>
      </c>
      <c r="HA4" s="14">
        <f t="shared" si="3"/>
        <v>0</v>
      </c>
      <c r="HB4" s="14">
        <f t="shared" si="3"/>
        <v>0</v>
      </c>
      <c r="HC4" s="14">
        <f t="shared" si="3"/>
        <v>0</v>
      </c>
      <c r="HD4" s="14">
        <f t="shared" si="3"/>
        <v>0</v>
      </c>
      <c r="HE4" s="14">
        <f t="shared" si="3"/>
        <v>0</v>
      </c>
      <c r="HF4" s="14">
        <f t="shared" si="3"/>
        <v>0</v>
      </c>
      <c r="HG4" s="14">
        <f t="shared" si="3"/>
        <v>0</v>
      </c>
      <c r="HH4" s="14">
        <f t="shared" si="3"/>
        <v>0</v>
      </c>
      <c r="HI4" s="14">
        <f t="shared" si="3"/>
        <v>0</v>
      </c>
      <c r="HJ4" s="14">
        <f t="shared" si="3"/>
        <v>0</v>
      </c>
      <c r="HK4" s="14">
        <f t="shared" si="3"/>
        <v>0</v>
      </c>
      <c r="HL4" s="14">
        <f t="shared" si="3"/>
        <v>0</v>
      </c>
      <c r="HM4" s="14">
        <f t="shared" si="3"/>
        <v>0</v>
      </c>
      <c r="HN4" s="14">
        <f t="shared" si="3"/>
        <v>0</v>
      </c>
      <c r="HO4" s="14">
        <f t="shared" si="3"/>
        <v>0</v>
      </c>
      <c r="HP4" s="14">
        <f t="shared" si="3"/>
        <v>0</v>
      </c>
      <c r="HQ4" s="14">
        <f t="shared" si="3"/>
        <v>0</v>
      </c>
      <c r="HR4" s="14">
        <f t="shared" si="3"/>
        <v>0</v>
      </c>
      <c r="HS4" s="14">
        <f t="shared" si="3"/>
        <v>0</v>
      </c>
      <c r="HT4" s="14">
        <f t="shared" si="3"/>
        <v>0</v>
      </c>
      <c r="HU4" s="14">
        <f t="shared" si="3"/>
        <v>0</v>
      </c>
      <c r="HV4" s="14">
        <f t="shared" si="3"/>
        <v>0</v>
      </c>
      <c r="HW4" s="14">
        <f t="shared" si="3"/>
        <v>0</v>
      </c>
      <c r="HX4" s="14">
        <f t="shared" si="3"/>
        <v>0</v>
      </c>
      <c r="HY4" s="14">
        <f t="shared" si="3"/>
        <v>0</v>
      </c>
      <c r="HZ4" s="14">
        <f t="shared" si="3"/>
        <v>0</v>
      </c>
      <c r="IA4" s="14">
        <f t="shared" si="3"/>
        <v>0</v>
      </c>
      <c r="IB4" s="14">
        <f t="shared" si="3"/>
        <v>0</v>
      </c>
      <c r="IC4" s="14">
        <f t="shared" si="3"/>
        <v>0</v>
      </c>
      <c r="ID4" s="14">
        <f t="shared" si="3"/>
        <v>0</v>
      </c>
      <c r="IE4" s="14">
        <f t="shared" si="3"/>
        <v>0</v>
      </c>
      <c r="IF4" s="14">
        <f t="shared" si="3"/>
        <v>0</v>
      </c>
      <c r="IG4" s="14">
        <f t="shared" si="3"/>
        <v>0</v>
      </c>
      <c r="IH4" s="14">
        <f t="shared" si="3"/>
        <v>0</v>
      </c>
      <c r="II4" s="14">
        <f t="shared" si="3"/>
        <v>0</v>
      </c>
      <c r="IJ4" s="14">
        <f t="shared" si="3"/>
        <v>0</v>
      </c>
      <c r="IK4" s="14">
        <f t="shared" si="3"/>
        <v>0</v>
      </c>
      <c r="IL4" s="14">
        <f t="shared" si="3"/>
        <v>0</v>
      </c>
      <c r="IM4" s="14">
        <f t="shared" si="3"/>
        <v>0</v>
      </c>
      <c r="IN4" s="14">
        <f t="shared" si="3"/>
        <v>0</v>
      </c>
      <c r="IO4" s="14">
        <f t="shared" si="3"/>
        <v>0</v>
      </c>
      <c r="IP4" s="14">
        <f t="shared" si="3"/>
        <v>0</v>
      </c>
      <c r="IQ4" s="14">
        <f t="shared" si="3"/>
        <v>0</v>
      </c>
      <c r="IR4" s="14">
        <f t="shared" si="3"/>
        <v>0</v>
      </c>
      <c r="IS4" s="14">
        <f t="shared" si="3"/>
        <v>0</v>
      </c>
      <c r="IT4" s="14">
        <f t="shared" si="3"/>
        <v>0</v>
      </c>
      <c r="IU4" s="14">
        <f t="shared" si="3"/>
        <v>0</v>
      </c>
      <c r="IV4" s="14">
        <f t="shared" si="3"/>
        <v>0</v>
      </c>
      <c r="IW4" s="14">
        <f t="shared" si="3"/>
        <v>0</v>
      </c>
      <c r="IX4" s="14">
        <f t="shared" si="3"/>
        <v>0</v>
      </c>
      <c r="IY4" s="14">
        <f t="shared" si="3"/>
        <v>0</v>
      </c>
      <c r="IZ4" s="14">
        <f t="shared" si="3"/>
        <v>0</v>
      </c>
      <c r="JA4" s="14">
        <f t="shared" si="3"/>
        <v>0</v>
      </c>
      <c r="JB4" s="14">
        <f t="shared" si="3"/>
        <v>0</v>
      </c>
      <c r="JC4" s="14">
        <f t="shared" si="3"/>
        <v>0</v>
      </c>
      <c r="JD4" s="14">
        <f t="shared" si="3"/>
        <v>0</v>
      </c>
      <c r="JE4" s="14">
        <f t="shared" si="3"/>
        <v>0</v>
      </c>
      <c r="JF4" s="14">
        <f t="shared" si="3"/>
        <v>0</v>
      </c>
      <c r="JG4" s="14">
        <f t="shared" si="3"/>
        <v>0</v>
      </c>
      <c r="JH4" s="14">
        <f t="shared" si="3"/>
        <v>0</v>
      </c>
      <c r="JI4" s="14">
        <f t="shared" si="3"/>
        <v>0</v>
      </c>
      <c r="JJ4" s="14">
        <f t="shared" si="3"/>
        <v>0</v>
      </c>
      <c r="JK4" s="14">
        <f t="shared" si="3"/>
        <v>0</v>
      </c>
      <c r="JL4" s="14">
        <f t="shared" ref="JL4:KF4" si="4">SUBTOTAL(9, JL6:JL801)</f>
        <v>0</v>
      </c>
      <c r="JM4" s="14">
        <f t="shared" si="4"/>
        <v>0</v>
      </c>
      <c r="JN4" s="14">
        <f t="shared" si="4"/>
        <v>0</v>
      </c>
      <c r="JO4" s="14">
        <f t="shared" si="4"/>
        <v>0</v>
      </c>
      <c r="JP4" s="14">
        <f t="shared" si="4"/>
        <v>0</v>
      </c>
      <c r="JQ4" s="14">
        <f t="shared" si="4"/>
        <v>0</v>
      </c>
      <c r="JR4" s="14">
        <f t="shared" si="4"/>
        <v>0</v>
      </c>
      <c r="JS4" s="14">
        <f t="shared" si="4"/>
        <v>0</v>
      </c>
      <c r="JT4" s="14">
        <f t="shared" si="4"/>
        <v>0</v>
      </c>
      <c r="JU4" s="14">
        <f t="shared" si="4"/>
        <v>0</v>
      </c>
      <c r="JV4" s="14">
        <f t="shared" si="4"/>
        <v>0</v>
      </c>
      <c r="JW4" s="14">
        <f t="shared" si="4"/>
        <v>0</v>
      </c>
      <c r="JX4" s="14">
        <f t="shared" si="4"/>
        <v>0</v>
      </c>
      <c r="JY4" s="14">
        <f t="shared" si="4"/>
        <v>0</v>
      </c>
      <c r="JZ4" s="14">
        <f t="shared" si="4"/>
        <v>0</v>
      </c>
      <c r="KA4" s="14">
        <f t="shared" si="4"/>
        <v>0</v>
      </c>
      <c r="KB4" s="14">
        <f t="shared" si="4"/>
        <v>0</v>
      </c>
      <c r="KC4" s="14">
        <f t="shared" si="4"/>
        <v>0</v>
      </c>
      <c r="KD4" s="14">
        <f t="shared" si="4"/>
        <v>0</v>
      </c>
      <c r="KE4" s="14">
        <f t="shared" si="4"/>
        <v>0</v>
      </c>
      <c r="KF4" s="14">
        <f t="shared" si="4"/>
        <v>0</v>
      </c>
      <c r="KG4" s="14">
        <f>SUBTOTAL(9, KG6:KG646)</f>
        <v>0</v>
      </c>
      <c r="KH4" s="14"/>
      <c r="KI4" s="24">
        <f>SUBTOTAL(9, KI6:KI646)</f>
        <v>0</v>
      </c>
      <c r="KJ4" s="24">
        <f>SUBTOTAL(9, KI6:KJ646)</f>
        <v>0</v>
      </c>
      <c r="KK4" s="1"/>
      <c r="KL4" s="1"/>
      <c r="KM4" s="1"/>
      <c r="KN4" s="1"/>
    </row>
    <row r="5" spans="1:300" ht="15" customHeight="1" x14ac:dyDescent="0.3">
      <c r="A5" s="19" t="s">
        <v>1441</v>
      </c>
      <c r="B5" s="9" t="s">
        <v>0</v>
      </c>
      <c r="C5" s="9" t="s">
        <v>543</v>
      </c>
      <c r="D5" s="9" t="s">
        <v>1</v>
      </c>
      <c r="E5" s="9" t="s">
        <v>2</v>
      </c>
      <c r="F5" s="9" t="s">
        <v>3</v>
      </c>
      <c r="G5" s="9" t="s">
        <v>542</v>
      </c>
      <c r="H5" s="9" t="s">
        <v>4</v>
      </c>
      <c r="I5" s="9" t="s">
        <v>5</v>
      </c>
      <c r="J5" s="9" t="s">
        <v>555</v>
      </c>
      <c r="K5" s="9" t="str">
        <f>"FCST a " &amp; I2</f>
        <v>FCST a Enero</v>
      </c>
      <c r="L5" s="9" t="str">
        <f>"Pendiente de FCST a " &amp; I2</f>
        <v>Pendiente de FCST a Enero</v>
      </c>
      <c r="M5" s="9" t="s">
        <v>1390</v>
      </c>
      <c r="N5" s="9" t="str">
        <f>"% cumplimiento a " &amp; I2</f>
        <v>% cumplimiento a Enero</v>
      </c>
      <c r="O5" s="9" t="s">
        <v>1391</v>
      </c>
      <c r="P5" s="9" t="s">
        <v>1079</v>
      </c>
      <c r="Q5" s="9" t="s">
        <v>1392</v>
      </c>
      <c r="R5" s="17" t="s">
        <v>6</v>
      </c>
      <c r="S5" s="9" t="s">
        <v>1529</v>
      </c>
      <c r="T5" s="9" t="s">
        <v>1393</v>
      </c>
      <c r="U5" s="9" t="s">
        <v>1394</v>
      </c>
      <c r="V5" s="9" t="s">
        <v>1395</v>
      </c>
      <c r="W5" s="9" t="s">
        <v>1396</v>
      </c>
      <c r="X5" s="9" t="s">
        <v>1397</v>
      </c>
      <c r="Y5" s="9" t="s">
        <v>1398</v>
      </c>
      <c r="Z5" s="9" t="s">
        <v>1399</v>
      </c>
      <c r="AA5" s="9" t="s">
        <v>1400</v>
      </c>
      <c r="AB5" s="9" t="s">
        <v>1401</v>
      </c>
      <c r="AC5" s="9" t="s">
        <v>1402</v>
      </c>
      <c r="AD5" s="9" t="s">
        <v>1403</v>
      </c>
      <c r="AE5" s="9" t="s">
        <v>1404</v>
      </c>
      <c r="AF5" s="17" t="s">
        <v>8</v>
      </c>
      <c r="AG5" s="29" t="s">
        <v>1662</v>
      </c>
      <c r="AH5" s="9" t="s">
        <v>1530</v>
      </c>
      <c r="AI5" s="9" t="s">
        <v>1405</v>
      </c>
      <c r="AJ5" s="9" t="s">
        <v>1406</v>
      </c>
      <c r="AK5" s="9" t="s">
        <v>1407</v>
      </c>
      <c r="AL5" s="9" t="s">
        <v>1408</v>
      </c>
      <c r="AM5" s="9" t="s">
        <v>1409</v>
      </c>
      <c r="AN5" s="9" t="s">
        <v>1410</v>
      </c>
      <c r="AO5" s="9" t="s">
        <v>1411</v>
      </c>
      <c r="AP5" s="9" t="s">
        <v>1412</v>
      </c>
      <c r="AQ5" s="9" t="s">
        <v>1413</v>
      </c>
      <c r="AR5" s="9" t="s">
        <v>1414</v>
      </c>
      <c r="AS5" s="9" t="s">
        <v>1415</v>
      </c>
      <c r="AT5" s="9" t="s">
        <v>1416</v>
      </c>
      <c r="AU5" s="17" t="s">
        <v>544</v>
      </c>
      <c r="AV5" s="9" t="s">
        <v>1531</v>
      </c>
      <c r="AW5" s="9" t="s">
        <v>1417</v>
      </c>
      <c r="AX5" s="9" t="s">
        <v>1418</v>
      </c>
      <c r="AY5" s="9" t="s">
        <v>1419</v>
      </c>
      <c r="AZ5" s="9" t="s">
        <v>1420</v>
      </c>
      <c r="BA5" s="9" t="s">
        <v>1421</v>
      </c>
      <c r="BB5" s="9" t="s">
        <v>1422</v>
      </c>
      <c r="BC5" s="9" t="s">
        <v>1423</v>
      </c>
      <c r="BD5" s="9" t="s">
        <v>1424</v>
      </c>
      <c r="BE5" s="9" t="s">
        <v>1425</v>
      </c>
      <c r="BF5" s="9" t="s">
        <v>1426</v>
      </c>
      <c r="BG5" s="9" t="s">
        <v>1427</v>
      </c>
      <c r="BH5" s="9" t="s">
        <v>1428</v>
      </c>
      <c r="BI5" s="9" t="s">
        <v>9</v>
      </c>
      <c r="BJ5" s="9" t="s">
        <v>1532</v>
      </c>
      <c r="BK5" s="9" t="s">
        <v>1429</v>
      </c>
      <c r="BL5" s="9" t="s">
        <v>1430</v>
      </c>
      <c r="BM5" s="9" t="s">
        <v>1431</v>
      </c>
      <c r="BN5" s="9" t="s">
        <v>1432</v>
      </c>
      <c r="BO5" s="9" t="s">
        <v>1433</v>
      </c>
      <c r="BP5" s="9" t="s">
        <v>1434</v>
      </c>
      <c r="BQ5" s="9" t="s">
        <v>1435</v>
      </c>
      <c r="BR5" s="9" t="s">
        <v>1436</v>
      </c>
      <c r="BS5" s="9" t="s">
        <v>1437</v>
      </c>
      <c r="BT5" s="9" t="s">
        <v>1438</v>
      </c>
      <c r="BU5" s="9" t="s">
        <v>1439</v>
      </c>
      <c r="BV5" s="9" t="s">
        <v>1440</v>
      </c>
      <c r="BW5" s="9" t="s">
        <v>7</v>
      </c>
      <c r="BX5" s="9" t="s">
        <v>1533</v>
      </c>
      <c r="BY5" s="9" t="s">
        <v>1534</v>
      </c>
      <c r="BZ5" s="9" t="s">
        <v>1535</v>
      </c>
      <c r="CA5" s="9" t="s">
        <v>1536</v>
      </c>
      <c r="CB5" s="9" t="s">
        <v>1537</v>
      </c>
      <c r="CC5" s="9" t="s">
        <v>1538</v>
      </c>
      <c r="CD5" s="9" t="s">
        <v>1539</v>
      </c>
      <c r="CE5" s="9" t="s">
        <v>1540</v>
      </c>
      <c r="CF5" s="9" t="s">
        <v>1541</v>
      </c>
      <c r="CG5" s="9" t="s">
        <v>1545</v>
      </c>
      <c r="CH5" s="9" t="s">
        <v>1542</v>
      </c>
      <c r="CI5" s="9" t="s">
        <v>1543</v>
      </c>
      <c r="CJ5" s="9" t="s">
        <v>1544</v>
      </c>
      <c r="CK5" s="9" t="s">
        <v>1656</v>
      </c>
      <c r="CL5" s="9" t="s">
        <v>1657</v>
      </c>
      <c r="CM5" s="9" t="s">
        <v>1658</v>
      </c>
      <c r="CN5" s="9" t="s">
        <v>1659</v>
      </c>
      <c r="CO5" s="9" t="s">
        <v>1660</v>
      </c>
      <c r="CP5" s="9" t="s">
        <v>1546</v>
      </c>
      <c r="CQ5" s="9" t="s">
        <v>1547</v>
      </c>
      <c r="CR5" s="9" t="s">
        <v>1548</v>
      </c>
      <c r="CS5" s="9" t="s">
        <v>1549</v>
      </c>
      <c r="CT5" s="9" t="s">
        <v>1550</v>
      </c>
      <c r="CU5" s="9" t="s">
        <v>1551</v>
      </c>
      <c r="CV5" s="9" t="s">
        <v>1552</v>
      </c>
      <c r="CW5" s="9" t="s">
        <v>1553</v>
      </c>
      <c r="CX5" s="9" t="s">
        <v>1554</v>
      </c>
      <c r="CY5" s="9" t="s">
        <v>1555</v>
      </c>
      <c r="CZ5" s="9" t="s">
        <v>1556</v>
      </c>
      <c r="DA5" s="9" t="s">
        <v>1557</v>
      </c>
      <c r="DB5" s="9" t="s">
        <v>1558</v>
      </c>
      <c r="DC5" s="9" t="s">
        <v>1559</v>
      </c>
      <c r="DD5" s="9" t="s">
        <v>1560</v>
      </c>
      <c r="DE5" s="9" t="s">
        <v>1561</v>
      </c>
      <c r="DF5" s="9" t="s">
        <v>1562</v>
      </c>
      <c r="DG5" s="9" t="s">
        <v>1563</v>
      </c>
      <c r="DH5" s="9" t="s">
        <v>1444</v>
      </c>
      <c r="DI5" s="9" t="s">
        <v>1445</v>
      </c>
      <c r="DJ5" s="9" t="s">
        <v>1446</v>
      </c>
      <c r="DK5" s="9" t="s">
        <v>1447</v>
      </c>
      <c r="DL5" s="9" t="s">
        <v>1448</v>
      </c>
      <c r="DM5" s="9" t="s">
        <v>1449</v>
      </c>
      <c r="DN5" s="9" t="s">
        <v>1450</v>
      </c>
      <c r="DO5" s="9" t="s">
        <v>1451</v>
      </c>
      <c r="DP5" s="9" t="s">
        <v>1452</v>
      </c>
      <c r="DQ5" s="9" t="s">
        <v>1453</v>
      </c>
      <c r="DR5" s="9" t="s">
        <v>1454</v>
      </c>
      <c r="DS5" s="9" t="s">
        <v>1455</v>
      </c>
      <c r="DT5" s="9" t="s">
        <v>1456</v>
      </c>
      <c r="DU5" s="9" t="s">
        <v>1457</v>
      </c>
      <c r="DV5" s="9" t="s">
        <v>1458</v>
      </c>
      <c r="DW5" s="9" t="s">
        <v>1459</v>
      </c>
      <c r="DX5" s="9" t="s">
        <v>1460</v>
      </c>
      <c r="DY5" s="9" t="s">
        <v>1461</v>
      </c>
      <c r="DZ5" s="9" t="s">
        <v>1462</v>
      </c>
      <c r="EA5" s="9" t="s">
        <v>1463</v>
      </c>
      <c r="EB5" s="9" t="s">
        <v>1464</v>
      </c>
      <c r="EC5" s="9" t="s">
        <v>1465</v>
      </c>
      <c r="ED5" s="9" t="s">
        <v>1466</v>
      </c>
      <c r="EE5" s="9" t="s">
        <v>1467</v>
      </c>
      <c r="EF5" s="9" t="s">
        <v>1468</v>
      </c>
      <c r="EG5" s="9" t="s">
        <v>1469</v>
      </c>
      <c r="EH5" s="9" t="s">
        <v>1470</v>
      </c>
      <c r="EI5" s="9" t="s">
        <v>1471</v>
      </c>
      <c r="EJ5" s="9" t="s">
        <v>1472</v>
      </c>
      <c r="EK5" s="9" t="s">
        <v>1473</v>
      </c>
      <c r="EL5" s="9" t="s">
        <v>1474</v>
      </c>
      <c r="EM5" s="9" t="s">
        <v>1475</v>
      </c>
      <c r="EN5" s="9" t="s">
        <v>1476</v>
      </c>
      <c r="EO5" s="9" t="s">
        <v>1477</v>
      </c>
      <c r="EP5" s="9" t="s">
        <v>1478</v>
      </c>
      <c r="EQ5" s="9" t="s">
        <v>1479</v>
      </c>
      <c r="ER5" s="9" t="s">
        <v>1564</v>
      </c>
      <c r="ES5" s="9" t="s">
        <v>1565</v>
      </c>
      <c r="ET5" s="9" t="s">
        <v>1566</v>
      </c>
      <c r="EU5" s="9" t="s">
        <v>1567</v>
      </c>
      <c r="EV5" s="9" t="s">
        <v>1568</v>
      </c>
      <c r="EW5" s="9" t="s">
        <v>1569</v>
      </c>
      <c r="EX5" s="9" t="s">
        <v>1570</v>
      </c>
      <c r="EY5" s="9" t="s">
        <v>1571</v>
      </c>
      <c r="EZ5" s="9" t="s">
        <v>1572</v>
      </c>
      <c r="FA5" s="9" t="s">
        <v>1573</v>
      </c>
      <c r="FB5" s="9" t="s">
        <v>1574</v>
      </c>
      <c r="FC5" s="9" t="s">
        <v>1575</v>
      </c>
      <c r="FD5" s="9" t="s">
        <v>1576</v>
      </c>
      <c r="FE5" s="9" t="s">
        <v>1577</v>
      </c>
      <c r="FF5" s="9" t="s">
        <v>1578</v>
      </c>
      <c r="FG5" s="9" t="s">
        <v>1579</v>
      </c>
      <c r="FH5" s="9" t="s">
        <v>1580</v>
      </c>
      <c r="FI5" s="9" t="s">
        <v>1581</v>
      </c>
      <c r="FJ5" s="9" t="s">
        <v>1582</v>
      </c>
      <c r="FK5" s="9" t="s">
        <v>1583</v>
      </c>
      <c r="FL5" s="9" t="s">
        <v>1584</v>
      </c>
      <c r="FM5" s="9" t="s">
        <v>1585</v>
      </c>
      <c r="FN5" s="9" t="s">
        <v>1586</v>
      </c>
      <c r="FO5" s="9" t="s">
        <v>1587</v>
      </c>
      <c r="FP5" s="9" t="s">
        <v>1588</v>
      </c>
      <c r="FQ5" s="9" t="s">
        <v>1589</v>
      </c>
      <c r="FR5" s="9" t="s">
        <v>1590</v>
      </c>
      <c r="FS5" s="9" t="s">
        <v>1591</v>
      </c>
      <c r="FT5" s="9" t="s">
        <v>1592</v>
      </c>
      <c r="FU5" s="9" t="s">
        <v>1593</v>
      </c>
      <c r="FV5" s="9" t="s">
        <v>1594</v>
      </c>
      <c r="FW5" s="9" t="s">
        <v>1595</v>
      </c>
      <c r="FX5" s="9" t="s">
        <v>1596</v>
      </c>
      <c r="FY5" s="9" t="s">
        <v>1597</v>
      </c>
      <c r="FZ5" s="9" t="s">
        <v>1598</v>
      </c>
      <c r="GA5" s="9" t="s">
        <v>1599</v>
      </c>
      <c r="GB5" s="9" t="s">
        <v>1480</v>
      </c>
      <c r="GC5" s="9" t="s">
        <v>1481</v>
      </c>
      <c r="GD5" s="11" t="s">
        <v>1482</v>
      </c>
      <c r="GE5" s="9" t="s">
        <v>1483</v>
      </c>
      <c r="GF5" s="9" t="s">
        <v>1484</v>
      </c>
      <c r="GG5" s="9" t="s">
        <v>1485</v>
      </c>
      <c r="GH5" s="9" t="s">
        <v>10</v>
      </c>
      <c r="GI5" s="9" t="s">
        <v>11</v>
      </c>
      <c r="GJ5" s="9" t="s">
        <v>12</v>
      </c>
      <c r="GK5" s="9" t="s">
        <v>13</v>
      </c>
      <c r="GL5" s="9" t="s">
        <v>14</v>
      </c>
      <c r="GM5" s="9" t="s">
        <v>15</v>
      </c>
      <c r="GN5" s="9" t="s">
        <v>1486</v>
      </c>
      <c r="GO5" s="9" t="s">
        <v>1487</v>
      </c>
      <c r="GP5" s="9" t="s">
        <v>1488</v>
      </c>
      <c r="GQ5" s="9" t="s">
        <v>1489</v>
      </c>
      <c r="GR5" s="9" t="s">
        <v>1490</v>
      </c>
      <c r="GS5" s="9" t="s">
        <v>1491</v>
      </c>
      <c r="GT5" s="9" t="s">
        <v>1600</v>
      </c>
      <c r="GU5" s="9" t="s">
        <v>1601</v>
      </c>
      <c r="GV5" s="9" t="s">
        <v>1602</v>
      </c>
      <c r="GW5" s="9" t="s">
        <v>1603</v>
      </c>
      <c r="GX5" s="9" t="s">
        <v>1604</v>
      </c>
      <c r="GY5" s="9" t="s">
        <v>1605</v>
      </c>
      <c r="GZ5" s="9" t="s">
        <v>1606</v>
      </c>
      <c r="HA5" s="9" t="s">
        <v>1607</v>
      </c>
      <c r="HB5" s="9" t="s">
        <v>1608</v>
      </c>
      <c r="HC5" s="9" t="s">
        <v>1609</v>
      </c>
      <c r="HD5" s="9" t="s">
        <v>1610</v>
      </c>
      <c r="HE5" s="9" t="s">
        <v>1611</v>
      </c>
      <c r="HF5" s="9" t="s">
        <v>1612</v>
      </c>
      <c r="HG5" s="9" t="s">
        <v>1613</v>
      </c>
      <c r="HH5" s="9" t="s">
        <v>1614</v>
      </c>
      <c r="HI5" s="9" t="s">
        <v>1615</v>
      </c>
      <c r="HJ5" s="9" t="s">
        <v>1616</v>
      </c>
      <c r="HK5" s="9" t="s">
        <v>1617</v>
      </c>
      <c r="HL5" s="9" t="s">
        <v>1618</v>
      </c>
      <c r="HM5" s="9" t="s">
        <v>1619</v>
      </c>
      <c r="HN5" s="9" t="s">
        <v>1620</v>
      </c>
      <c r="HO5" s="9" t="s">
        <v>1621</v>
      </c>
      <c r="HP5" s="9" t="s">
        <v>1622</v>
      </c>
      <c r="HQ5" s="9" t="s">
        <v>1623</v>
      </c>
      <c r="HR5" s="9" t="s">
        <v>1624</v>
      </c>
      <c r="HS5" s="9" t="s">
        <v>1625</v>
      </c>
      <c r="HT5" s="9" t="s">
        <v>1626</v>
      </c>
      <c r="HU5" s="9" t="s">
        <v>1627</v>
      </c>
      <c r="HV5" s="9" t="s">
        <v>1628</v>
      </c>
      <c r="HW5" s="9" t="s">
        <v>1629</v>
      </c>
      <c r="HX5" s="9" t="s">
        <v>1630</v>
      </c>
      <c r="HY5" s="9" t="s">
        <v>1631</v>
      </c>
      <c r="HZ5" s="9" t="s">
        <v>1632</v>
      </c>
      <c r="IA5" s="9" t="s">
        <v>1633</v>
      </c>
      <c r="IB5" s="9" t="s">
        <v>1634</v>
      </c>
      <c r="IC5" s="9" t="s">
        <v>1635</v>
      </c>
      <c r="ID5" s="9" t="s">
        <v>1492</v>
      </c>
      <c r="IE5" s="9" t="s">
        <v>1493</v>
      </c>
      <c r="IF5" s="9" t="s">
        <v>1494</v>
      </c>
      <c r="IG5" s="9" t="s">
        <v>1495</v>
      </c>
      <c r="IH5" s="9" t="s">
        <v>1496</v>
      </c>
      <c r="II5" s="9" t="s">
        <v>1497</v>
      </c>
      <c r="IJ5" s="9" t="s">
        <v>1498</v>
      </c>
      <c r="IK5" s="9" t="s">
        <v>1499</v>
      </c>
      <c r="IL5" s="9" t="s">
        <v>1500</v>
      </c>
      <c r="IM5" s="9" t="s">
        <v>1501</v>
      </c>
      <c r="IN5" s="9" t="s">
        <v>1502</v>
      </c>
      <c r="IO5" s="9" t="s">
        <v>1503</v>
      </c>
      <c r="IP5" s="9" t="s">
        <v>1504</v>
      </c>
      <c r="IQ5" s="9" t="s">
        <v>1505</v>
      </c>
      <c r="IR5" s="9" t="s">
        <v>1506</v>
      </c>
      <c r="IS5" s="9" t="s">
        <v>1507</v>
      </c>
      <c r="IT5" s="9" t="s">
        <v>1508</v>
      </c>
      <c r="IU5" s="9" t="s">
        <v>1509</v>
      </c>
      <c r="IV5" s="9" t="s">
        <v>1510</v>
      </c>
      <c r="IW5" s="9" t="s">
        <v>1511</v>
      </c>
      <c r="IX5" s="9" t="s">
        <v>1512</v>
      </c>
      <c r="IY5" s="9" t="s">
        <v>1513</v>
      </c>
      <c r="IZ5" s="9" t="s">
        <v>1514</v>
      </c>
      <c r="JA5" s="9" t="s">
        <v>1515</v>
      </c>
      <c r="JB5" s="9" t="s">
        <v>1516</v>
      </c>
      <c r="JC5" s="9" t="s">
        <v>1517</v>
      </c>
      <c r="JD5" s="9" t="s">
        <v>1518</v>
      </c>
      <c r="JE5" s="9" t="s">
        <v>1519</v>
      </c>
      <c r="JF5" s="9" t="s">
        <v>1520</v>
      </c>
      <c r="JG5" s="9" t="s">
        <v>1521</v>
      </c>
      <c r="JH5" s="9" t="s">
        <v>1522</v>
      </c>
      <c r="JI5" s="9" t="s">
        <v>1523</v>
      </c>
      <c r="JJ5" s="9" t="s">
        <v>1524</v>
      </c>
      <c r="JK5" s="9" t="s">
        <v>1525</v>
      </c>
      <c r="JL5" s="9" t="s">
        <v>1526</v>
      </c>
      <c r="JM5" s="9" t="s">
        <v>1527</v>
      </c>
      <c r="JN5" s="9" t="s">
        <v>1636</v>
      </c>
      <c r="JO5" s="9" t="s">
        <v>1637</v>
      </c>
      <c r="JP5" s="9" t="s">
        <v>1638</v>
      </c>
      <c r="JQ5" s="9" t="s">
        <v>1639</v>
      </c>
      <c r="JR5" s="9" t="s">
        <v>1640</v>
      </c>
      <c r="JS5" s="9" t="s">
        <v>1641</v>
      </c>
      <c r="JT5" s="9" t="s">
        <v>1642</v>
      </c>
      <c r="JU5" s="9" t="s">
        <v>1643</v>
      </c>
      <c r="JV5" s="9" t="s">
        <v>1644</v>
      </c>
      <c r="JW5" s="9" t="s">
        <v>1645</v>
      </c>
      <c r="JX5" s="9" t="s">
        <v>1646</v>
      </c>
      <c r="JY5" s="9" t="s">
        <v>1647</v>
      </c>
      <c r="JZ5" s="9" t="s">
        <v>1648</v>
      </c>
      <c r="KA5" s="9" t="s">
        <v>1649</v>
      </c>
      <c r="KB5" s="9" t="s">
        <v>1650</v>
      </c>
      <c r="KC5" s="9" t="s">
        <v>1651</v>
      </c>
      <c r="KD5" s="9" t="s">
        <v>1652</v>
      </c>
      <c r="KE5" s="9" t="s">
        <v>1653</v>
      </c>
      <c r="KF5" s="19" t="s">
        <v>721</v>
      </c>
      <c r="KG5" s="19" t="s">
        <v>1070</v>
      </c>
      <c r="KH5" s="19" t="s">
        <v>16</v>
      </c>
      <c r="KI5" s="23" t="s">
        <v>1443</v>
      </c>
      <c r="KJ5" s="23" t="s">
        <v>1442</v>
      </c>
      <c r="KK5" s="19" t="s">
        <v>1655</v>
      </c>
      <c r="KL5" s="19" t="s">
        <v>1661</v>
      </c>
      <c r="KM5" s="19" t="s">
        <v>1663</v>
      </c>
      <c r="KN5" s="19" t="s">
        <v>1664</v>
      </c>
    </row>
  </sheetData>
  <autoFilter ref="A5:KN5" xr:uid="{00000000-0001-0000-0200-000000000000}"/>
  <mergeCells count="1">
    <mergeCell ref="C2:E2"/>
  </mergeCells>
  <dataValidations disablePrompts="1" count="3">
    <dataValidation type="list" showInputMessage="1" showErrorMessage="1" sqref="H2" xr:uid="{00000000-0002-0000-0200-000000000000}">
      <formula1>"Plan, FCST 1+11, FCST 2+10, FCST 3+12, FCST 4+8, FCST 5+7, FCST 6+18, FCST 7+5, FCST 8+4, FCST 9+3, FCST 10+2, FCST 11+1"</formula1>
    </dataValidation>
    <dataValidation type="list" showInputMessage="1" showErrorMessage="1" sqref="I2" xr:uid="{00000000-0002-0000-0200-000001000000}">
      <formula1>"Enero, Febrero, Marzo, Abril, Mayo, Junio, Julio, Agosto, Setiembre, Octubre, Noviembre, Diciembre"</formula1>
    </dataValidation>
    <dataValidation showInputMessage="1" showErrorMessage="1" sqref="J2 N2" xr:uid="{00000000-0002-0000-0200-000002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A779-4635-45C0-85A2-9EE4FD097A64}">
  <sheetPr codeName="Hoja4"/>
  <dimension ref="A1:E1642"/>
  <sheetViews>
    <sheetView topLeftCell="A2" workbookViewId="0">
      <selection activeCell="D1642" sqref="D1642"/>
    </sheetView>
  </sheetViews>
  <sheetFormatPr baseColWidth="10" defaultRowHeight="14.4" x14ac:dyDescent="0.3"/>
  <cols>
    <col min="1" max="1" width="14.44140625" customWidth="1"/>
    <col min="2" max="2" width="14.5546875" customWidth="1"/>
  </cols>
  <sheetData>
    <row r="1" spans="1:5" x14ac:dyDescent="0.3">
      <c r="A1" s="20" t="s">
        <v>1259</v>
      </c>
      <c r="B1" s="20" t="s">
        <v>1260</v>
      </c>
      <c r="D1" s="21" t="s">
        <v>1261</v>
      </c>
      <c r="E1" s="21" t="s">
        <v>1262</v>
      </c>
    </row>
    <row r="2" spans="1:5" x14ac:dyDescent="0.3">
      <c r="A2" t="s">
        <v>17</v>
      </c>
      <c r="B2" t="s">
        <v>556</v>
      </c>
      <c r="D2" s="8" t="s">
        <v>1080</v>
      </c>
      <c r="E2" s="8" t="s">
        <v>581</v>
      </c>
    </row>
    <row r="3" spans="1:5" x14ac:dyDescent="0.3">
      <c r="A3" t="s">
        <v>19</v>
      </c>
      <c r="B3" t="s">
        <v>545</v>
      </c>
      <c r="D3" s="8" t="s">
        <v>1081</v>
      </c>
      <c r="E3" s="8" t="s">
        <v>581</v>
      </c>
    </row>
    <row r="4" spans="1:5" x14ac:dyDescent="0.3">
      <c r="A4" t="s">
        <v>20</v>
      </c>
      <c r="B4" t="s">
        <v>549</v>
      </c>
      <c r="D4" s="8" t="s">
        <v>646</v>
      </c>
      <c r="E4" s="8" t="s">
        <v>547</v>
      </c>
    </row>
    <row r="5" spans="1:5" x14ac:dyDescent="0.3">
      <c r="A5" t="s">
        <v>21</v>
      </c>
      <c r="B5" t="s">
        <v>546</v>
      </c>
      <c r="D5" s="8" t="s">
        <v>1010</v>
      </c>
      <c r="E5" s="8" t="s">
        <v>581</v>
      </c>
    </row>
    <row r="6" spans="1:5" x14ac:dyDescent="0.3">
      <c r="A6" t="s">
        <v>22</v>
      </c>
      <c r="B6" t="s">
        <v>548</v>
      </c>
      <c r="D6" s="8" t="s">
        <v>1082</v>
      </c>
      <c r="E6" s="8" t="s">
        <v>581</v>
      </c>
    </row>
    <row r="7" spans="1:5" x14ac:dyDescent="0.3">
      <c r="A7" t="s">
        <v>23</v>
      </c>
      <c r="B7" t="s">
        <v>547</v>
      </c>
      <c r="D7" s="8" t="s">
        <v>1083</v>
      </c>
      <c r="E7" s="8" t="s">
        <v>581</v>
      </c>
    </row>
    <row r="8" spans="1:5" x14ac:dyDescent="0.3">
      <c r="A8" t="s">
        <v>24</v>
      </c>
      <c r="B8" t="s">
        <v>563</v>
      </c>
      <c r="D8" s="8" t="s">
        <v>1084</v>
      </c>
      <c r="E8" s="8" t="s">
        <v>581</v>
      </c>
    </row>
    <row r="9" spans="1:5" x14ac:dyDescent="0.3">
      <c r="A9" t="s">
        <v>25</v>
      </c>
      <c r="B9" t="s">
        <v>564</v>
      </c>
      <c r="D9" s="8" t="s">
        <v>1023</v>
      </c>
      <c r="E9" s="8" t="s">
        <v>545</v>
      </c>
    </row>
    <row r="10" spans="1:5" x14ac:dyDescent="0.3">
      <c r="A10" t="s">
        <v>26</v>
      </c>
      <c r="B10">
        <v>0</v>
      </c>
      <c r="D10" s="8" t="s">
        <v>1085</v>
      </c>
      <c r="E10" s="8" t="s">
        <v>581</v>
      </c>
    </row>
    <row r="11" spans="1:5" x14ac:dyDescent="0.3">
      <c r="A11" t="s">
        <v>27</v>
      </c>
      <c r="B11" t="s">
        <v>550</v>
      </c>
      <c r="D11" s="8" t="s">
        <v>1086</v>
      </c>
      <c r="E11" s="8" t="s">
        <v>581</v>
      </c>
    </row>
    <row r="12" spans="1:5" x14ac:dyDescent="0.3">
      <c r="A12" t="s">
        <v>28</v>
      </c>
      <c r="B12" t="s">
        <v>551</v>
      </c>
      <c r="D12" s="8" t="s">
        <v>1087</v>
      </c>
      <c r="E12" s="8" t="s">
        <v>581</v>
      </c>
    </row>
    <row r="13" spans="1:5" x14ac:dyDescent="0.3">
      <c r="A13" t="s">
        <v>29</v>
      </c>
      <c r="B13" t="s">
        <v>552</v>
      </c>
      <c r="D13" s="8" t="s">
        <v>1088</v>
      </c>
      <c r="E13" s="8" t="s">
        <v>581</v>
      </c>
    </row>
    <row r="14" spans="1:5" x14ac:dyDescent="0.3">
      <c r="A14" t="s">
        <v>30</v>
      </c>
      <c r="B14" t="s">
        <v>553</v>
      </c>
      <c r="D14" s="8" t="s">
        <v>1089</v>
      </c>
      <c r="E14" s="8" t="s">
        <v>581</v>
      </c>
    </row>
    <row r="15" spans="1:5" x14ac:dyDescent="0.3">
      <c r="A15" t="s">
        <v>31</v>
      </c>
      <c r="B15" t="s">
        <v>554</v>
      </c>
      <c r="D15" s="8" t="s">
        <v>1090</v>
      </c>
      <c r="E15" s="8" t="s">
        <v>581</v>
      </c>
    </row>
    <row r="16" spans="1:5" x14ac:dyDescent="0.3">
      <c r="A16" t="s">
        <v>32</v>
      </c>
      <c r="B16" t="s">
        <v>561</v>
      </c>
      <c r="D16" s="8" t="s">
        <v>1091</v>
      </c>
      <c r="E16" s="8" t="s">
        <v>581</v>
      </c>
    </row>
    <row r="17" spans="1:5" x14ac:dyDescent="0.3">
      <c r="A17" t="s">
        <v>33</v>
      </c>
      <c r="B17" t="s">
        <v>558</v>
      </c>
      <c r="D17" s="8" t="s">
        <v>1092</v>
      </c>
      <c r="E17" s="8" t="s">
        <v>581</v>
      </c>
    </row>
    <row r="18" spans="1:5" x14ac:dyDescent="0.3">
      <c r="A18" t="s">
        <v>34</v>
      </c>
      <c r="B18" t="s">
        <v>557</v>
      </c>
      <c r="D18" s="8" t="s">
        <v>1093</v>
      </c>
      <c r="E18" s="8" t="s">
        <v>547</v>
      </c>
    </row>
    <row r="19" spans="1:5" x14ac:dyDescent="0.3">
      <c r="A19" t="s">
        <v>35</v>
      </c>
      <c r="B19" t="s">
        <v>541</v>
      </c>
      <c r="D19" s="8" t="s">
        <v>1024</v>
      </c>
      <c r="E19" s="8" t="s">
        <v>545</v>
      </c>
    </row>
    <row r="20" spans="1:5" x14ac:dyDescent="0.3">
      <c r="A20" t="s">
        <v>36</v>
      </c>
      <c r="D20" s="8" t="s">
        <v>1025</v>
      </c>
      <c r="E20" s="8" t="s">
        <v>545</v>
      </c>
    </row>
    <row r="21" spans="1:5" x14ac:dyDescent="0.3">
      <c r="A21" t="s">
        <v>37</v>
      </c>
      <c r="D21" s="8" t="s">
        <v>1094</v>
      </c>
      <c r="E21" s="8" t="s">
        <v>581</v>
      </c>
    </row>
    <row r="22" spans="1:5" x14ac:dyDescent="0.3">
      <c r="A22" t="s">
        <v>38</v>
      </c>
      <c r="D22" s="8" t="s">
        <v>1095</v>
      </c>
      <c r="E22" s="8" t="s">
        <v>581</v>
      </c>
    </row>
    <row r="23" spans="1:5" x14ac:dyDescent="0.3">
      <c r="A23" t="s">
        <v>39</v>
      </c>
      <c r="D23" s="8" t="s">
        <v>1096</v>
      </c>
      <c r="E23" s="8" t="s">
        <v>581</v>
      </c>
    </row>
    <row r="24" spans="1:5" x14ac:dyDescent="0.3">
      <c r="A24" t="s">
        <v>40</v>
      </c>
      <c r="D24" s="8" t="s">
        <v>1097</v>
      </c>
      <c r="E24" s="8" t="s">
        <v>559</v>
      </c>
    </row>
    <row r="25" spans="1:5" x14ac:dyDescent="0.3">
      <c r="A25" t="s">
        <v>41</v>
      </c>
      <c r="D25" s="8" t="s">
        <v>1098</v>
      </c>
      <c r="E25" s="8" t="s">
        <v>581</v>
      </c>
    </row>
    <row r="26" spans="1:5" x14ac:dyDescent="0.3">
      <c r="A26" t="s">
        <v>42</v>
      </c>
      <c r="D26" s="8" t="s">
        <v>1099</v>
      </c>
      <c r="E26" s="8" t="s">
        <v>581</v>
      </c>
    </row>
    <row r="27" spans="1:5" x14ac:dyDescent="0.3">
      <c r="A27" t="s">
        <v>43</v>
      </c>
      <c r="D27" s="8" t="s">
        <v>1101</v>
      </c>
      <c r="E27" s="8" t="s">
        <v>581</v>
      </c>
    </row>
    <row r="28" spans="1:5" x14ac:dyDescent="0.3">
      <c r="A28" t="s">
        <v>44</v>
      </c>
      <c r="D28" s="8" t="s">
        <v>1102</v>
      </c>
      <c r="E28" s="8" t="s">
        <v>581</v>
      </c>
    </row>
    <row r="29" spans="1:5" x14ac:dyDescent="0.3">
      <c r="A29" t="s">
        <v>45</v>
      </c>
      <c r="D29" s="8" t="s">
        <v>1103</v>
      </c>
      <c r="E29" s="8" t="s">
        <v>581</v>
      </c>
    </row>
    <row r="30" spans="1:5" x14ac:dyDescent="0.3">
      <c r="A30" t="s">
        <v>46</v>
      </c>
      <c r="D30" s="8" t="s">
        <v>1104</v>
      </c>
      <c r="E30" s="8" t="s">
        <v>581</v>
      </c>
    </row>
    <row r="31" spans="1:5" x14ac:dyDescent="0.3">
      <c r="A31" t="s">
        <v>47</v>
      </c>
      <c r="D31" s="8" t="s">
        <v>1105</v>
      </c>
      <c r="E31" s="8" t="s">
        <v>581</v>
      </c>
    </row>
    <row r="32" spans="1:5" x14ac:dyDescent="0.3">
      <c r="A32" t="s">
        <v>48</v>
      </c>
      <c r="D32" s="8" t="s">
        <v>1106</v>
      </c>
      <c r="E32" s="8" t="s">
        <v>581</v>
      </c>
    </row>
    <row r="33" spans="1:5" x14ac:dyDescent="0.3">
      <c r="A33" t="s">
        <v>49</v>
      </c>
      <c r="D33" s="8" t="s">
        <v>1107</v>
      </c>
      <c r="E33" s="8" t="s">
        <v>581</v>
      </c>
    </row>
    <row r="34" spans="1:5" x14ac:dyDescent="0.3">
      <c r="A34" t="s">
        <v>50</v>
      </c>
      <c r="D34" s="8" t="s">
        <v>1108</v>
      </c>
      <c r="E34" s="8" t="s">
        <v>581</v>
      </c>
    </row>
    <row r="35" spans="1:5" x14ac:dyDescent="0.3">
      <c r="A35" t="s">
        <v>51</v>
      </c>
      <c r="D35" s="8" t="s">
        <v>1109</v>
      </c>
      <c r="E35" s="8" t="s">
        <v>581</v>
      </c>
    </row>
    <row r="36" spans="1:5" x14ac:dyDescent="0.3">
      <c r="A36" t="s">
        <v>52</v>
      </c>
      <c r="D36" s="8" t="s">
        <v>1110</v>
      </c>
      <c r="E36" s="8" t="s">
        <v>581</v>
      </c>
    </row>
    <row r="37" spans="1:5" x14ac:dyDescent="0.3">
      <c r="A37" t="s">
        <v>53</v>
      </c>
      <c r="D37" s="8" t="s">
        <v>1111</v>
      </c>
      <c r="E37" s="8" t="s">
        <v>581</v>
      </c>
    </row>
    <row r="38" spans="1:5" x14ac:dyDescent="0.3">
      <c r="A38" t="s">
        <v>1263</v>
      </c>
      <c r="D38" s="8" t="s">
        <v>1112</v>
      </c>
      <c r="E38" s="8" t="s">
        <v>581</v>
      </c>
    </row>
    <row r="39" spans="1:5" x14ac:dyDescent="0.3">
      <c r="A39" t="s">
        <v>1264</v>
      </c>
      <c r="D39" s="8" t="s">
        <v>1113</v>
      </c>
      <c r="E39" s="8" t="s">
        <v>581</v>
      </c>
    </row>
    <row r="40" spans="1:5" x14ac:dyDescent="0.3">
      <c r="A40" t="s">
        <v>54</v>
      </c>
      <c r="D40" s="8" t="s">
        <v>1114</v>
      </c>
      <c r="E40" s="8" t="s">
        <v>581</v>
      </c>
    </row>
    <row r="41" spans="1:5" x14ac:dyDescent="0.3">
      <c r="A41" t="s">
        <v>55</v>
      </c>
      <c r="D41" s="8" t="s">
        <v>1115</v>
      </c>
      <c r="E41" s="8" t="s">
        <v>581</v>
      </c>
    </row>
    <row r="42" spans="1:5" x14ac:dyDescent="0.3">
      <c r="A42" t="s">
        <v>56</v>
      </c>
      <c r="D42" s="8" t="s">
        <v>1116</v>
      </c>
      <c r="E42" s="8" t="s">
        <v>581</v>
      </c>
    </row>
    <row r="43" spans="1:5" x14ac:dyDescent="0.3">
      <c r="A43" t="s">
        <v>57</v>
      </c>
      <c r="D43" s="8" t="s">
        <v>1117</v>
      </c>
      <c r="E43" s="8" t="s">
        <v>581</v>
      </c>
    </row>
    <row r="44" spans="1:5" x14ac:dyDescent="0.3">
      <c r="A44" t="s">
        <v>58</v>
      </c>
      <c r="D44" s="8" t="s">
        <v>1118</v>
      </c>
      <c r="E44" s="8" t="s">
        <v>581</v>
      </c>
    </row>
    <row r="45" spans="1:5" x14ac:dyDescent="0.3">
      <c r="A45" t="s">
        <v>59</v>
      </c>
      <c r="D45" s="8" t="s">
        <v>1119</v>
      </c>
      <c r="E45" s="8" t="s">
        <v>581</v>
      </c>
    </row>
    <row r="46" spans="1:5" x14ac:dyDescent="0.3">
      <c r="A46" t="s">
        <v>60</v>
      </c>
      <c r="D46" s="8" t="s">
        <v>1120</v>
      </c>
      <c r="E46" s="8" t="s">
        <v>581</v>
      </c>
    </row>
    <row r="47" spans="1:5" x14ac:dyDescent="0.3">
      <c r="A47" t="s">
        <v>61</v>
      </c>
      <c r="D47" s="8" t="s">
        <v>1121</v>
      </c>
      <c r="E47" s="8" t="s">
        <v>581</v>
      </c>
    </row>
    <row r="48" spans="1:5" x14ac:dyDescent="0.3">
      <c r="A48" t="s">
        <v>62</v>
      </c>
      <c r="D48" s="8" t="s">
        <v>1122</v>
      </c>
      <c r="E48" s="8" t="s">
        <v>581</v>
      </c>
    </row>
    <row r="49" spans="1:5" x14ac:dyDescent="0.3">
      <c r="A49" t="s">
        <v>63</v>
      </c>
      <c r="D49" s="8" t="s">
        <v>1123</v>
      </c>
      <c r="E49" s="8" t="s">
        <v>581</v>
      </c>
    </row>
    <row r="50" spans="1:5" x14ac:dyDescent="0.3">
      <c r="A50" t="s">
        <v>64</v>
      </c>
      <c r="D50" s="8" t="s">
        <v>1124</v>
      </c>
      <c r="E50" s="8" t="s">
        <v>581</v>
      </c>
    </row>
    <row r="51" spans="1:5" x14ac:dyDescent="0.3">
      <c r="A51" t="s">
        <v>65</v>
      </c>
      <c r="D51" s="8" t="s">
        <v>1125</v>
      </c>
      <c r="E51" s="8" t="s">
        <v>581</v>
      </c>
    </row>
    <row r="52" spans="1:5" x14ac:dyDescent="0.3">
      <c r="A52" t="s">
        <v>66</v>
      </c>
      <c r="D52" s="8" t="s">
        <v>1126</v>
      </c>
      <c r="E52" s="8" t="s">
        <v>581</v>
      </c>
    </row>
    <row r="53" spans="1:5" x14ac:dyDescent="0.3">
      <c r="A53" t="s">
        <v>67</v>
      </c>
      <c r="D53" s="8" t="s">
        <v>535</v>
      </c>
      <c r="E53" s="8" t="s">
        <v>581</v>
      </c>
    </row>
    <row r="54" spans="1:5" x14ac:dyDescent="0.3">
      <c r="A54" t="s">
        <v>68</v>
      </c>
      <c r="D54" s="8" t="s">
        <v>1127</v>
      </c>
      <c r="E54" s="8" t="s">
        <v>559</v>
      </c>
    </row>
    <row r="55" spans="1:5" x14ac:dyDescent="0.3">
      <c r="A55" t="s">
        <v>69</v>
      </c>
      <c r="D55" s="8" t="s">
        <v>1128</v>
      </c>
      <c r="E55" s="8" t="s">
        <v>581</v>
      </c>
    </row>
    <row r="56" spans="1:5" x14ac:dyDescent="0.3">
      <c r="A56" t="s">
        <v>70</v>
      </c>
      <c r="D56" s="8" t="s">
        <v>1026</v>
      </c>
      <c r="E56" s="8" t="s">
        <v>545</v>
      </c>
    </row>
    <row r="57" spans="1:5" x14ac:dyDescent="0.3">
      <c r="A57" t="s">
        <v>71</v>
      </c>
      <c r="D57" s="8" t="s">
        <v>1129</v>
      </c>
      <c r="E57" s="8" t="s">
        <v>581</v>
      </c>
    </row>
    <row r="58" spans="1:5" x14ac:dyDescent="0.3">
      <c r="A58" t="s">
        <v>72</v>
      </c>
      <c r="D58" s="8" t="s">
        <v>1027</v>
      </c>
      <c r="E58" s="8" t="s">
        <v>559</v>
      </c>
    </row>
    <row r="59" spans="1:5" x14ac:dyDescent="0.3">
      <c r="A59" t="s">
        <v>73</v>
      </c>
      <c r="D59" s="8" t="s">
        <v>1028</v>
      </c>
      <c r="E59" s="8" t="s">
        <v>545</v>
      </c>
    </row>
    <row r="60" spans="1:5" x14ac:dyDescent="0.3">
      <c r="A60" t="s">
        <v>74</v>
      </c>
      <c r="D60" s="8" t="s">
        <v>1130</v>
      </c>
      <c r="E60" s="8" t="s">
        <v>581</v>
      </c>
    </row>
    <row r="61" spans="1:5" x14ac:dyDescent="0.3">
      <c r="A61" t="s">
        <v>75</v>
      </c>
      <c r="D61" s="8" t="s">
        <v>1131</v>
      </c>
      <c r="E61" s="8" t="s">
        <v>581</v>
      </c>
    </row>
    <row r="62" spans="1:5" x14ac:dyDescent="0.3">
      <c r="A62" t="s">
        <v>76</v>
      </c>
      <c r="D62" s="8" t="s">
        <v>1132</v>
      </c>
      <c r="E62" s="8" t="s">
        <v>581</v>
      </c>
    </row>
    <row r="63" spans="1:5" x14ac:dyDescent="0.3">
      <c r="A63" t="s">
        <v>77</v>
      </c>
      <c r="D63" s="8" t="s">
        <v>1133</v>
      </c>
      <c r="E63" s="8" t="s">
        <v>581</v>
      </c>
    </row>
    <row r="64" spans="1:5" x14ac:dyDescent="0.3">
      <c r="A64" t="s">
        <v>78</v>
      </c>
      <c r="D64" s="8" t="s">
        <v>1134</v>
      </c>
      <c r="E64" s="8" t="s">
        <v>581</v>
      </c>
    </row>
    <row r="65" spans="1:5" x14ac:dyDescent="0.3">
      <c r="A65" t="s">
        <v>79</v>
      </c>
      <c r="D65" s="8" t="s">
        <v>1135</v>
      </c>
      <c r="E65" s="8" t="s">
        <v>581</v>
      </c>
    </row>
    <row r="66" spans="1:5" x14ac:dyDescent="0.3">
      <c r="A66" t="s">
        <v>80</v>
      </c>
      <c r="D66" s="8" t="s">
        <v>1136</v>
      </c>
      <c r="E66" s="8" t="s">
        <v>581</v>
      </c>
    </row>
    <row r="67" spans="1:5" x14ac:dyDescent="0.3">
      <c r="A67" t="s">
        <v>81</v>
      </c>
      <c r="D67" s="8" t="s">
        <v>1137</v>
      </c>
      <c r="E67" s="8" t="s">
        <v>581</v>
      </c>
    </row>
    <row r="68" spans="1:5" x14ac:dyDescent="0.3">
      <c r="A68" t="s">
        <v>82</v>
      </c>
      <c r="D68" s="8" t="s">
        <v>1138</v>
      </c>
      <c r="E68" s="8" t="s">
        <v>581</v>
      </c>
    </row>
    <row r="69" spans="1:5" x14ac:dyDescent="0.3">
      <c r="A69" t="s">
        <v>83</v>
      </c>
      <c r="D69" s="8" t="s">
        <v>1139</v>
      </c>
      <c r="E69" s="8" t="s">
        <v>581</v>
      </c>
    </row>
    <row r="70" spans="1:5" x14ac:dyDescent="0.3">
      <c r="A70" t="s">
        <v>84</v>
      </c>
      <c r="D70" s="8" t="s">
        <v>1140</v>
      </c>
      <c r="E70" s="8" t="s">
        <v>581</v>
      </c>
    </row>
    <row r="71" spans="1:5" x14ac:dyDescent="0.3">
      <c r="A71" t="s">
        <v>85</v>
      </c>
      <c r="D71" s="8" t="s">
        <v>1141</v>
      </c>
      <c r="E71" s="8" t="s">
        <v>581</v>
      </c>
    </row>
    <row r="72" spans="1:5" x14ac:dyDescent="0.3">
      <c r="A72" t="s">
        <v>86</v>
      </c>
      <c r="D72" s="8" t="s">
        <v>1142</v>
      </c>
      <c r="E72" s="8" t="s">
        <v>581</v>
      </c>
    </row>
    <row r="73" spans="1:5" x14ac:dyDescent="0.3">
      <c r="A73" t="s">
        <v>87</v>
      </c>
      <c r="D73" s="8" t="s">
        <v>1029</v>
      </c>
      <c r="E73" s="8" t="s">
        <v>545</v>
      </c>
    </row>
    <row r="74" spans="1:5" x14ac:dyDescent="0.3">
      <c r="A74" t="s">
        <v>88</v>
      </c>
      <c r="D74" s="8" t="s">
        <v>145</v>
      </c>
      <c r="E74" s="8" t="s">
        <v>559</v>
      </c>
    </row>
    <row r="75" spans="1:5" x14ac:dyDescent="0.3">
      <c r="A75" t="s">
        <v>89</v>
      </c>
      <c r="D75" s="8" t="s">
        <v>1031</v>
      </c>
      <c r="E75" s="8" t="s">
        <v>559</v>
      </c>
    </row>
    <row r="76" spans="1:5" x14ac:dyDescent="0.3">
      <c r="A76" t="s">
        <v>90</v>
      </c>
      <c r="D76" s="8" t="s">
        <v>1032</v>
      </c>
      <c r="E76" s="8" t="s">
        <v>545</v>
      </c>
    </row>
    <row r="77" spans="1:5" x14ac:dyDescent="0.3">
      <c r="A77" t="s">
        <v>91</v>
      </c>
      <c r="D77" s="8" t="s">
        <v>1143</v>
      </c>
      <c r="E77" s="8" t="s">
        <v>581</v>
      </c>
    </row>
    <row r="78" spans="1:5" x14ac:dyDescent="0.3">
      <c r="A78" t="s">
        <v>92</v>
      </c>
      <c r="D78" s="8" t="s">
        <v>1144</v>
      </c>
      <c r="E78" s="8" t="s">
        <v>581</v>
      </c>
    </row>
    <row r="79" spans="1:5" x14ac:dyDescent="0.3">
      <c r="A79" t="s">
        <v>93</v>
      </c>
      <c r="D79" s="8" t="s">
        <v>1145</v>
      </c>
      <c r="E79" s="8" t="s">
        <v>581</v>
      </c>
    </row>
    <row r="80" spans="1:5" x14ac:dyDescent="0.3">
      <c r="A80" t="s">
        <v>94</v>
      </c>
      <c r="D80" s="8" t="s">
        <v>1146</v>
      </c>
      <c r="E80" s="8" t="s">
        <v>581</v>
      </c>
    </row>
    <row r="81" spans="1:5" x14ac:dyDescent="0.3">
      <c r="A81" t="s">
        <v>95</v>
      </c>
      <c r="D81" s="8" t="s">
        <v>1147</v>
      </c>
      <c r="E81" s="8" t="s">
        <v>581</v>
      </c>
    </row>
    <row r="82" spans="1:5" x14ac:dyDescent="0.3">
      <c r="A82" t="s">
        <v>96</v>
      </c>
      <c r="D82" s="8" t="s">
        <v>1148</v>
      </c>
      <c r="E82" s="8" t="s">
        <v>581</v>
      </c>
    </row>
    <row r="83" spans="1:5" x14ac:dyDescent="0.3">
      <c r="A83" t="s">
        <v>97</v>
      </c>
      <c r="D83" s="8" t="s">
        <v>1149</v>
      </c>
      <c r="E83" s="8" t="s">
        <v>581</v>
      </c>
    </row>
    <row r="84" spans="1:5" x14ac:dyDescent="0.3">
      <c r="A84" t="s">
        <v>98</v>
      </c>
      <c r="D84" s="8" t="s">
        <v>1150</v>
      </c>
      <c r="E84" s="8" t="s">
        <v>581</v>
      </c>
    </row>
    <row r="85" spans="1:5" x14ac:dyDescent="0.3">
      <c r="A85" t="s">
        <v>99</v>
      </c>
      <c r="D85" s="8" t="s">
        <v>1151</v>
      </c>
      <c r="E85" s="8" t="s">
        <v>581</v>
      </c>
    </row>
    <row r="86" spans="1:5" x14ac:dyDescent="0.3">
      <c r="A86" t="s">
        <v>100</v>
      </c>
      <c r="D86" s="8" t="s">
        <v>1152</v>
      </c>
      <c r="E86" s="8" t="s">
        <v>581</v>
      </c>
    </row>
    <row r="87" spans="1:5" x14ac:dyDescent="0.3">
      <c r="A87" t="s">
        <v>101</v>
      </c>
      <c r="D87" s="8" t="s">
        <v>1153</v>
      </c>
      <c r="E87" s="8" t="s">
        <v>581</v>
      </c>
    </row>
    <row r="88" spans="1:5" x14ac:dyDescent="0.3">
      <c r="A88" t="s">
        <v>102</v>
      </c>
      <c r="D88" s="8" t="s">
        <v>1154</v>
      </c>
      <c r="E88" s="8" t="s">
        <v>581</v>
      </c>
    </row>
    <row r="89" spans="1:5" x14ac:dyDescent="0.3">
      <c r="A89" t="s">
        <v>103</v>
      </c>
      <c r="D89" s="8" t="s">
        <v>1155</v>
      </c>
      <c r="E89" s="8" t="s">
        <v>581</v>
      </c>
    </row>
    <row r="90" spans="1:5" x14ac:dyDescent="0.3">
      <c r="A90" t="s">
        <v>104</v>
      </c>
      <c r="D90" s="8" t="s">
        <v>1156</v>
      </c>
      <c r="E90" s="8" t="s">
        <v>581</v>
      </c>
    </row>
    <row r="91" spans="1:5" x14ac:dyDescent="0.3">
      <c r="A91" t="s">
        <v>105</v>
      </c>
      <c r="D91" s="8" t="s">
        <v>1157</v>
      </c>
      <c r="E91" s="8" t="s">
        <v>581</v>
      </c>
    </row>
    <row r="92" spans="1:5" x14ac:dyDescent="0.3">
      <c r="A92" t="s">
        <v>106</v>
      </c>
      <c r="D92" s="8" t="s">
        <v>1158</v>
      </c>
      <c r="E92" s="8" t="s">
        <v>581</v>
      </c>
    </row>
    <row r="93" spans="1:5" x14ac:dyDescent="0.3">
      <c r="A93" t="s">
        <v>107</v>
      </c>
      <c r="D93" s="8" t="s">
        <v>1033</v>
      </c>
      <c r="E93" s="8" t="s">
        <v>545</v>
      </c>
    </row>
    <row r="94" spans="1:5" x14ac:dyDescent="0.3">
      <c r="A94" t="s">
        <v>108</v>
      </c>
      <c r="D94" s="8" t="s">
        <v>1159</v>
      </c>
      <c r="E94" s="8" t="s">
        <v>581</v>
      </c>
    </row>
    <row r="95" spans="1:5" x14ac:dyDescent="0.3">
      <c r="A95" t="s">
        <v>109</v>
      </c>
      <c r="D95" s="8" t="s">
        <v>1160</v>
      </c>
      <c r="E95" s="8" t="s">
        <v>581</v>
      </c>
    </row>
    <row r="96" spans="1:5" x14ac:dyDescent="0.3">
      <c r="A96" t="s">
        <v>110</v>
      </c>
      <c r="D96" s="8" t="s">
        <v>1161</v>
      </c>
      <c r="E96" s="8" t="s">
        <v>581</v>
      </c>
    </row>
    <row r="97" spans="1:5" x14ac:dyDescent="0.3">
      <c r="A97" t="s">
        <v>111</v>
      </c>
      <c r="D97" s="8" t="s">
        <v>1162</v>
      </c>
      <c r="E97" s="8" t="s">
        <v>581</v>
      </c>
    </row>
    <row r="98" spans="1:5" x14ac:dyDescent="0.3">
      <c r="A98" t="s">
        <v>112</v>
      </c>
      <c r="D98" s="8" t="s">
        <v>1034</v>
      </c>
      <c r="E98" s="8" t="s">
        <v>545</v>
      </c>
    </row>
    <row r="99" spans="1:5" x14ac:dyDescent="0.3">
      <c r="A99" t="s">
        <v>113</v>
      </c>
      <c r="D99" s="8" t="s">
        <v>1163</v>
      </c>
      <c r="E99" s="8" t="s">
        <v>581</v>
      </c>
    </row>
    <row r="100" spans="1:5" x14ac:dyDescent="0.3">
      <c r="A100" t="s">
        <v>114</v>
      </c>
      <c r="D100" s="8" t="s">
        <v>1164</v>
      </c>
      <c r="E100" s="8" t="s">
        <v>581</v>
      </c>
    </row>
    <row r="101" spans="1:5" x14ac:dyDescent="0.3">
      <c r="A101" t="s">
        <v>115</v>
      </c>
      <c r="D101" s="8" t="s">
        <v>1165</v>
      </c>
      <c r="E101" s="8" t="s">
        <v>581</v>
      </c>
    </row>
    <row r="102" spans="1:5" x14ac:dyDescent="0.3">
      <c r="A102" t="s">
        <v>116</v>
      </c>
      <c r="D102" s="8" t="s">
        <v>1035</v>
      </c>
      <c r="E102" s="8" t="s">
        <v>545</v>
      </c>
    </row>
    <row r="103" spans="1:5" x14ac:dyDescent="0.3">
      <c r="A103" t="s">
        <v>117</v>
      </c>
      <c r="D103" s="8" t="s">
        <v>1166</v>
      </c>
      <c r="E103" s="8" t="s">
        <v>581</v>
      </c>
    </row>
    <row r="104" spans="1:5" x14ac:dyDescent="0.3">
      <c r="A104" t="s">
        <v>118</v>
      </c>
      <c r="D104" s="8" t="s">
        <v>1167</v>
      </c>
      <c r="E104" s="8" t="s">
        <v>581</v>
      </c>
    </row>
    <row r="105" spans="1:5" x14ac:dyDescent="0.3">
      <c r="A105" t="s">
        <v>119</v>
      </c>
      <c r="D105" s="8" t="s">
        <v>1168</v>
      </c>
      <c r="E105" s="8" t="s">
        <v>581</v>
      </c>
    </row>
    <row r="106" spans="1:5" x14ac:dyDescent="0.3">
      <c r="A106" t="s">
        <v>120</v>
      </c>
      <c r="D106" s="8" t="s">
        <v>1169</v>
      </c>
      <c r="E106" s="8" t="s">
        <v>581</v>
      </c>
    </row>
    <row r="107" spans="1:5" x14ac:dyDescent="0.3">
      <c r="A107" t="s">
        <v>121</v>
      </c>
      <c r="D107" s="8" t="s">
        <v>1036</v>
      </c>
      <c r="E107" s="8" t="s">
        <v>545</v>
      </c>
    </row>
    <row r="108" spans="1:5" x14ac:dyDescent="0.3">
      <c r="A108" t="s">
        <v>122</v>
      </c>
      <c r="D108" s="8" t="s">
        <v>538</v>
      </c>
      <c r="E108" s="8" t="s">
        <v>581</v>
      </c>
    </row>
    <row r="109" spans="1:5" x14ac:dyDescent="0.3">
      <c r="A109" t="s">
        <v>123</v>
      </c>
      <c r="D109" s="8" t="s">
        <v>1170</v>
      </c>
      <c r="E109" s="8" t="s">
        <v>581</v>
      </c>
    </row>
    <row r="110" spans="1:5" x14ac:dyDescent="0.3">
      <c r="A110" t="s">
        <v>124</v>
      </c>
      <c r="D110" s="8" t="s">
        <v>1171</v>
      </c>
      <c r="E110" s="8" t="s">
        <v>581</v>
      </c>
    </row>
    <row r="111" spans="1:5" x14ac:dyDescent="0.3">
      <c r="A111" t="s">
        <v>125</v>
      </c>
      <c r="D111" s="8" t="s">
        <v>1172</v>
      </c>
      <c r="E111" s="8" t="s">
        <v>581</v>
      </c>
    </row>
    <row r="112" spans="1:5" x14ac:dyDescent="0.3">
      <c r="A112" t="s">
        <v>126</v>
      </c>
      <c r="D112" s="8" t="s">
        <v>1173</v>
      </c>
      <c r="E112" s="8" t="s">
        <v>581</v>
      </c>
    </row>
    <row r="113" spans="1:5" x14ac:dyDescent="0.3">
      <c r="A113" t="s">
        <v>127</v>
      </c>
      <c r="D113" s="8" t="s">
        <v>1174</v>
      </c>
      <c r="E113" s="8" t="s">
        <v>581</v>
      </c>
    </row>
    <row r="114" spans="1:5" x14ac:dyDescent="0.3">
      <c r="A114" t="s">
        <v>1265</v>
      </c>
      <c r="D114" s="8" t="s">
        <v>1175</v>
      </c>
      <c r="E114" s="8" t="s">
        <v>581</v>
      </c>
    </row>
    <row r="115" spans="1:5" x14ac:dyDescent="0.3">
      <c r="A115" t="s">
        <v>128</v>
      </c>
      <c r="D115" s="8" t="s">
        <v>591</v>
      </c>
      <c r="E115" s="8" t="s">
        <v>547</v>
      </c>
    </row>
    <row r="116" spans="1:5" x14ac:dyDescent="0.3">
      <c r="A116" t="s">
        <v>129</v>
      </c>
      <c r="D116" s="8" t="s">
        <v>590</v>
      </c>
      <c r="E116" s="8" t="s">
        <v>547</v>
      </c>
    </row>
    <row r="117" spans="1:5" x14ac:dyDescent="0.3">
      <c r="A117" t="s">
        <v>130</v>
      </c>
      <c r="D117" s="8" t="s">
        <v>597</v>
      </c>
      <c r="E117" s="8" t="s">
        <v>547</v>
      </c>
    </row>
    <row r="118" spans="1:5" x14ac:dyDescent="0.3">
      <c r="A118" t="s">
        <v>131</v>
      </c>
      <c r="D118" s="8" t="s">
        <v>618</v>
      </c>
      <c r="E118" s="8" t="s">
        <v>547</v>
      </c>
    </row>
    <row r="119" spans="1:5" x14ac:dyDescent="0.3">
      <c r="A119" t="s">
        <v>132</v>
      </c>
      <c r="D119" s="8" t="s">
        <v>616</v>
      </c>
      <c r="E119" s="8" t="s">
        <v>547</v>
      </c>
    </row>
    <row r="120" spans="1:5" x14ac:dyDescent="0.3">
      <c r="A120" t="s">
        <v>133</v>
      </c>
      <c r="D120" s="8" t="s">
        <v>613</v>
      </c>
      <c r="E120" s="8" t="s">
        <v>547</v>
      </c>
    </row>
    <row r="121" spans="1:5" x14ac:dyDescent="0.3">
      <c r="A121" t="s">
        <v>134</v>
      </c>
      <c r="D121" s="8" t="s">
        <v>621</v>
      </c>
      <c r="E121" s="8" t="s">
        <v>547</v>
      </c>
    </row>
    <row r="122" spans="1:5" x14ac:dyDescent="0.3">
      <c r="A122" t="s">
        <v>135</v>
      </c>
      <c r="D122" s="8" t="s">
        <v>619</v>
      </c>
      <c r="E122" s="8" t="s">
        <v>547</v>
      </c>
    </row>
    <row r="123" spans="1:5" x14ac:dyDescent="0.3">
      <c r="A123" t="s">
        <v>136</v>
      </c>
      <c r="D123" s="8" t="s">
        <v>645</v>
      </c>
      <c r="E123" s="8" t="s">
        <v>581</v>
      </c>
    </row>
    <row r="124" spans="1:5" x14ac:dyDescent="0.3">
      <c r="A124" t="s">
        <v>137</v>
      </c>
      <c r="D124" s="8" t="s">
        <v>654</v>
      </c>
      <c r="E124" s="8" t="s">
        <v>547</v>
      </c>
    </row>
    <row r="125" spans="1:5" x14ac:dyDescent="0.3">
      <c r="A125" t="s">
        <v>138</v>
      </c>
      <c r="D125" s="8" t="s">
        <v>656</v>
      </c>
      <c r="E125" s="8" t="s">
        <v>581</v>
      </c>
    </row>
    <row r="126" spans="1:5" x14ac:dyDescent="0.3">
      <c r="A126" t="s">
        <v>139</v>
      </c>
      <c r="D126" s="8" t="s">
        <v>639</v>
      </c>
      <c r="E126" s="8" t="s">
        <v>581</v>
      </c>
    </row>
    <row r="127" spans="1:5" x14ac:dyDescent="0.3">
      <c r="A127" t="s">
        <v>140</v>
      </c>
      <c r="D127" s="8" t="s">
        <v>614</v>
      </c>
      <c r="E127" s="8" t="s">
        <v>581</v>
      </c>
    </row>
    <row r="128" spans="1:5" x14ac:dyDescent="0.3">
      <c r="A128" t="s">
        <v>141</v>
      </c>
      <c r="D128" s="8" t="s">
        <v>1176</v>
      </c>
      <c r="E128" s="8" t="s">
        <v>581</v>
      </c>
    </row>
    <row r="129" spans="1:5" x14ac:dyDescent="0.3">
      <c r="A129" t="s">
        <v>142</v>
      </c>
      <c r="D129" s="8" t="s">
        <v>1177</v>
      </c>
      <c r="E129" s="8" t="s">
        <v>581</v>
      </c>
    </row>
    <row r="130" spans="1:5" x14ac:dyDescent="0.3">
      <c r="A130" t="s">
        <v>143</v>
      </c>
      <c r="D130" s="8" t="s">
        <v>1178</v>
      </c>
      <c r="E130" s="8" t="s">
        <v>581</v>
      </c>
    </row>
    <row r="131" spans="1:5" x14ac:dyDescent="0.3">
      <c r="A131" t="s">
        <v>144</v>
      </c>
      <c r="D131" s="8" t="s">
        <v>1179</v>
      </c>
      <c r="E131" s="8" t="s">
        <v>581</v>
      </c>
    </row>
    <row r="132" spans="1:5" x14ac:dyDescent="0.3">
      <c r="A132" t="s">
        <v>145</v>
      </c>
      <c r="D132" s="8" t="s">
        <v>1180</v>
      </c>
      <c r="E132" s="8" t="s">
        <v>581</v>
      </c>
    </row>
    <row r="133" spans="1:5" x14ac:dyDescent="0.3">
      <c r="A133" t="s">
        <v>146</v>
      </c>
      <c r="D133" s="8" t="s">
        <v>1181</v>
      </c>
      <c r="E133" s="8" t="s">
        <v>581</v>
      </c>
    </row>
    <row r="134" spans="1:5" x14ac:dyDescent="0.3">
      <c r="A134" t="s">
        <v>147</v>
      </c>
      <c r="D134" s="8" t="s">
        <v>1182</v>
      </c>
      <c r="E134" s="8" t="s">
        <v>581</v>
      </c>
    </row>
    <row r="135" spans="1:5" x14ac:dyDescent="0.3">
      <c r="A135" t="s">
        <v>148</v>
      </c>
      <c r="D135" s="8" t="s">
        <v>1183</v>
      </c>
      <c r="E135" s="8" t="s">
        <v>581</v>
      </c>
    </row>
    <row r="136" spans="1:5" x14ac:dyDescent="0.3">
      <c r="A136" t="s">
        <v>149</v>
      </c>
      <c r="D136" s="8" t="s">
        <v>1184</v>
      </c>
      <c r="E136" s="8" t="s">
        <v>581</v>
      </c>
    </row>
    <row r="137" spans="1:5" x14ac:dyDescent="0.3">
      <c r="A137" t="s">
        <v>150</v>
      </c>
      <c r="D137" s="8" t="s">
        <v>1185</v>
      </c>
      <c r="E137" s="8" t="s">
        <v>581</v>
      </c>
    </row>
    <row r="138" spans="1:5" x14ac:dyDescent="0.3">
      <c r="A138" t="s">
        <v>151</v>
      </c>
      <c r="D138" s="8" t="s">
        <v>1186</v>
      </c>
      <c r="E138" s="8" t="s">
        <v>581</v>
      </c>
    </row>
    <row r="139" spans="1:5" x14ac:dyDescent="0.3">
      <c r="A139" t="s">
        <v>152</v>
      </c>
      <c r="D139" s="8" t="s">
        <v>1187</v>
      </c>
      <c r="E139" s="8" t="s">
        <v>581</v>
      </c>
    </row>
    <row r="140" spans="1:5" x14ac:dyDescent="0.3">
      <c r="A140" t="s">
        <v>153</v>
      </c>
      <c r="D140" s="8" t="s">
        <v>1188</v>
      </c>
      <c r="E140" s="8" t="s">
        <v>581</v>
      </c>
    </row>
    <row r="141" spans="1:5" x14ac:dyDescent="0.3">
      <c r="A141" t="s">
        <v>154</v>
      </c>
      <c r="D141" s="8" t="s">
        <v>1189</v>
      </c>
      <c r="E141" s="8" t="s">
        <v>581</v>
      </c>
    </row>
    <row r="142" spans="1:5" x14ac:dyDescent="0.3">
      <c r="A142" t="s">
        <v>155</v>
      </c>
      <c r="D142" s="8" t="s">
        <v>1190</v>
      </c>
      <c r="E142" s="8" t="s">
        <v>581</v>
      </c>
    </row>
    <row r="143" spans="1:5" x14ac:dyDescent="0.3">
      <c r="A143" t="s">
        <v>156</v>
      </c>
      <c r="D143" s="8" t="s">
        <v>1191</v>
      </c>
      <c r="E143" s="8" t="s">
        <v>581</v>
      </c>
    </row>
    <row r="144" spans="1:5" x14ac:dyDescent="0.3">
      <c r="A144" t="s">
        <v>157</v>
      </c>
      <c r="D144" s="8" t="s">
        <v>1192</v>
      </c>
      <c r="E144" s="8" t="s">
        <v>581</v>
      </c>
    </row>
    <row r="145" spans="1:5" x14ac:dyDescent="0.3">
      <c r="A145" t="s">
        <v>158</v>
      </c>
      <c r="D145" s="8" t="s">
        <v>1193</v>
      </c>
      <c r="E145" s="8" t="s">
        <v>581</v>
      </c>
    </row>
    <row r="146" spans="1:5" x14ac:dyDescent="0.3">
      <c r="A146" t="s">
        <v>1266</v>
      </c>
      <c r="D146" s="8" t="s">
        <v>1194</v>
      </c>
      <c r="E146" s="8" t="s">
        <v>581</v>
      </c>
    </row>
    <row r="147" spans="1:5" x14ac:dyDescent="0.3">
      <c r="A147" t="s">
        <v>159</v>
      </c>
      <c r="D147" s="8" t="s">
        <v>1195</v>
      </c>
      <c r="E147" s="8" t="s">
        <v>581</v>
      </c>
    </row>
    <row r="148" spans="1:5" x14ac:dyDescent="0.3">
      <c r="A148" t="s">
        <v>160</v>
      </c>
      <c r="D148" s="8" t="s">
        <v>1196</v>
      </c>
      <c r="E148" s="8" t="s">
        <v>581</v>
      </c>
    </row>
    <row r="149" spans="1:5" x14ac:dyDescent="0.3">
      <c r="A149" t="s">
        <v>161</v>
      </c>
      <c r="D149" s="8" t="s">
        <v>1197</v>
      </c>
      <c r="E149" s="8" t="s">
        <v>581</v>
      </c>
    </row>
    <row r="150" spans="1:5" x14ac:dyDescent="0.3">
      <c r="A150" t="s">
        <v>162</v>
      </c>
      <c r="D150" s="8" t="s">
        <v>1198</v>
      </c>
      <c r="E150" s="8" t="s">
        <v>581</v>
      </c>
    </row>
    <row r="151" spans="1:5" x14ac:dyDescent="0.3">
      <c r="A151" t="s">
        <v>163</v>
      </c>
      <c r="D151" s="8" t="s">
        <v>1199</v>
      </c>
      <c r="E151" s="8" t="s">
        <v>581</v>
      </c>
    </row>
    <row r="152" spans="1:5" x14ac:dyDescent="0.3">
      <c r="A152" t="s">
        <v>164</v>
      </c>
      <c r="D152" s="8" t="s">
        <v>620</v>
      </c>
      <c r="E152" s="8" t="s">
        <v>547</v>
      </c>
    </row>
    <row r="153" spans="1:5" x14ac:dyDescent="0.3">
      <c r="A153" t="s">
        <v>165</v>
      </c>
      <c r="D153" s="8" t="s">
        <v>615</v>
      </c>
      <c r="E153" s="8" t="s">
        <v>547</v>
      </c>
    </row>
    <row r="154" spans="1:5" x14ac:dyDescent="0.3">
      <c r="A154" t="s">
        <v>166</v>
      </c>
      <c r="D154" s="8" t="s">
        <v>536</v>
      </c>
      <c r="E154" s="8" t="s">
        <v>547</v>
      </c>
    </row>
    <row r="155" spans="1:5" x14ac:dyDescent="0.3">
      <c r="A155" t="s">
        <v>167</v>
      </c>
      <c r="D155" s="8" t="s">
        <v>650</v>
      </c>
      <c r="E155" s="8" t="s">
        <v>581</v>
      </c>
    </row>
    <row r="156" spans="1:5" x14ac:dyDescent="0.3">
      <c r="A156" t="s">
        <v>168</v>
      </c>
      <c r="D156" s="8" t="s">
        <v>649</v>
      </c>
      <c r="E156" s="8" t="s">
        <v>581</v>
      </c>
    </row>
    <row r="157" spans="1:5" x14ac:dyDescent="0.3">
      <c r="A157" t="s">
        <v>169</v>
      </c>
      <c r="D157" s="8" t="s">
        <v>633</v>
      </c>
      <c r="E157" s="8" t="s">
        <v>581</v>
      </c>
    </row>
    <row r="158" spans="1:5" x14ac:dyDescent="0.3">
      <c r="A158" t="s">
        <v>170</v>
      </c>
      <c r="D158" s="8" t="s">
        <v>692</v>
      </c>
      <c r="E158" s="8" t="s">
        <v>581</v>
      </c>
    </row>
    <row r="159" spans="1:5" x14ac:dyDescent="0.3">
      <c r="A159" t="s">
        <v>171</v>
      </c>
      <c r="D159" s="8" t="s">
        <v>708</v>
      </c>
      <c r="E159" s="8" t="s">
        <v>547</v>
      </c>
    </row>
    <row r="160" spans="1:5" x14ac:dyDescent="0.3">
      <c r="A160" t="s">
        <v>172</v>
      </c>
      <c r="D160" s="8" t="s">
        <v>1200</v>
      </c>
      <c r="E160" s="8" t="s">
        <v>581</v>
      </c>
    </row>
    <row r="161" spans="1:5" x14ac:dyDescent="0.3">
      <c r="A161" t="s">
        <v>173</v>
      </c>
      <c r="D161" s="8" t="s">
        <v>735</v>
      </c>
      <c r="E161" s="8" t="s">
        <v>545</v>
      </c>
    </row>
    <row r="162" spans="1:5" x14ac:dyDescent="0.3">
      <c r="A162" t="s">
        <v>174</v>
      </c>
      <c r="D162" s="8" t="s">
        <v>737</v>
      </c>
      <c r="E162" s="8" t="s">
        <v>545</v>
      </c>
    </row>
    <row r="163" spans="1:5" x14ac:dyDescent="0.3">
      <c r="A163" t="s">
        <v>175</v>
      </c>
      <c r="D163" s="8" t="s">
        <v>738</v>
      </c>
      <c r="E163" s="8" t="s">
        <v>545</v>
      </c>
    </row>
    <row r="164" spans="1:5" x14ac:dyDescent="0.3">
      <c r="A164" t="s">
        <v>176</v>
      </c>
      <c r="D164" s="8" t="s">
        <v>739</v>
      </c>
      <c r="E164" s="8" t="s">
        <v>545</v>
      </c>
    </row>
    <row r="165" spans="1:5" x14ac:dyDescent="0.3">
      <c r="A165" t="s">
        <v>177</v>
      </c>
      <c r="D165" s="8" t="s">
        <v>740</v>
      </c>
      <c r="E165" s="8" t="s">
        <v>547</v>
      </c>
    </row>
    <row r="166" spans="1:5" x14ac:dyDescent="0.3">
      <c r="A166" t="s">
        <v>178</v>
      </c>
      <c r="D166" s="8" t="s">
        <v>741</v>
      </c>
      <c r="E166" s="8" t="s">
        <v>545</v>
      </c>
    </row>
    <row r="167" spans="1:5" x14ac:dyDescent="0.3">
      <c r="A167" t="s">
        <v>179</v>
      </c>
      <c r="D167" s="8" t="s">
        <v>742</v>
      </c>
      <c r="E167" s="8" t="s">
        <v>545</v>
      </c>
    </row>
    <row r="168" spans="1:5" x14ac:dyDescent="0.3">
      <c r="A168" t="s">
        <v>180</v>
      </c>
      <c r="D168" s="8" t="s">
        <v>743</v>
      </c>
      <c r="E168" s="8" t="s">
        <v>545</v>
      </c>
    </row>
    <row r="169" spans="1:5" x14ac:dyDescent="0.3">
      <c r="A169" t="s">
        <v>181</v>
      </c>
      <c r="D169" s="8" t="s">
        <v>744</v>
      </c>
      <c r="E169" s="8" t="s">
        <v>581</v>
      </c>
    </row>
    <row r="170" spans="1:5" x14ac:dyDescent="0.3">
      <c r="A170" t="s">
        <v>182</v>
      </c>
      <c r="D170" s="8" t="s">
        <v>1201</v>
      </c>
      <c r="E170" s="8" t="s">
        <v>581</v>
      </c>
    </row>
    <row r="171" spans="1:5" x14ac:dyDescent="0.3">
      <c r="A171" t="s">
        <v>183</v>
      </c>
      <c r="D171" s="8" t="s">
        <v>1037</v>
      </c>
      <c r="E171" s="8" t="s">
        <v>545</v>
      </c>
    </row>
    <row r="172" spans="1:5" x14ac:dyDescent="0.3">
      <c r="A172" t="s">
        <v>184</v>
      </c>
      <c r="D172" s="8" t="s">
        <v>747</v>
      </c>
      <c r="E172" s="8" t="s">
        <v>547</v>
      </c>
    </row>
    <row r="173" spans="1:5" x14ac:dyDescent="0.3">
      <c r="A173" t="s">
        <v>185</v>
      </c>
      <c r="D173" s="8" t="s">
        <v>748</v>
      </c>
      <c r="E173" s="8" t="s">
        <v>581</v>
      </c>
    </row>
    <row r="174" spans="1:5" x14ac:dyDescent="0.3">
      <c r="A174" t="s">
        <v>186</v>
      </c>
      <c r="D174" s="8" t="s">
        <v>749</v>
      </c>
      <c r="E174" s="8" t="s">
        <v>581</v>
      </c>
    </row>
    <row r="175" spans="1:5" x14ac:dyDescent="0.3">
      <c r="A175" t="s">
        <v>187</v>
      </c>
      <c r="D175" s="8" t="s">
        <v>1202</v>
      </c>
      <c r="E175" s="8" t="s">
        <v>581</v>
      </c>
    </row>
    <row r="176" spans="1:5" x14ac:dyDescent="0.3">
      <c r="A176" t="s">
        <v>188</v>
      </c>
      <c r="D176" s="8" t="s">
        <v>751</v>
      </c>
      <c r="E176" s="8" t="s">
        <v>581</v>
      </c>
    </row>
    <row r="177" spans="1:5" x14ac:dyDescent="0.3">
      <c r="A177" t="s">
        <v>189</v>
      </c>
      <c r="D177" s="8" t="s">
        <v>1006</v>
      </c>
      <c r="E177" s="8" t="s">
        <v>581</v>
      </c>
    </row>
    <row r="178" spans="1:5" x14ac:dyDescent="0.3">
      <c r="A178" t="s">
        <v>190</v>
      </c>
      <c r="D178" s="8" t="s">
        <v>986</v>
      </c>
      <c r="E178" s="8" t="s">
        <v>547</v>
      </c>
    </row>
    <row r="179" spans="1:5" x14ac:dyDescent="0.3">
      <c r="A179" t="s">
        <v>191</v>
      </c>
      <c r="D179" s="8" t="s">
        <v>1203</v>
      </c>
      <c r="E179" s="8" t="s">
        <v>581</v>
      </c>
    </row>
    <row r="180" spans="1:5" x14ac:dyDescent="0.3">
      <c r="A180" t="s">
        <v>192</v>
      </c>
      <c r="D180" s="8" t="s">
        <v>990</v>
      </c>
      <c r="E180" s="8" t="s">
        <v>581</v>
      </c>
    </row>
    <row r="181" spans="1:5" x14ac:dyDescent="0.3">
      <c r="A181" t="s">
        <v>193</v>
      </c>
      <c r="D181" s="8" t="s">
        <v>991</v>
      </c>
      <c r="E181" s="8" t="s">
        <v>545</v>
      </c>
    </row>
    <row r="182" spans="1:5" x14ac:dyDescent="0.3">
      <c r="A182" t="s">
        <v>194</v>
      </c>
      <c r="D182" s="8" t="s">
        <v>992</v>
      </c>
      <c r="E182" s="8" t="s">
        <v>581</v>
      </c>
    </row>
    <row r="183" spans="1:5" x14ac:dyDescent="0.3">
      <c r="A183" t="s">
        <v>195</v>
      </c>
      <c r="D183" s="8" t="s">
        <v>993</v>
      </c>
      <c r="E183" s="8" t="s">
        <v>547</v>
      </c>
    </row>
    <row r="184" spans="1:5" x14ac:dyDescent="0.3">
      <c r="A184" t="s">
        <v>196</v>
      </c>
      <c r="D184" s="8" t="s">
        <v>994</v>
      </c>
      <c r="E184" s="8" t="s">
        <v>547</v>
      </c>
    </row>
    <row r="185" spans="1:5" x14ac:dyDescent="0.3">
      <c r="A185" t="s">
        <v>197</v>
      </c>
      <c r="D185" s="8" t="s">
        <v>995</v>
      </c>
      <c r="E185" s="8" t="s">
        <v>581</v>
      </c>
    </row>
    <row r="186" spans="1:5" x14ac:dyDescent="0.3">
      <c r="A186" t="s">
        <v>198</v>
      </c>
      <c r="D186" s="8" t="s">
        <v>1204</v>
      </c>
      <c r="E186" s="8" t="s">
        <v>547</v>
      </c>
    </row>
    <row r="187" spans="1:5" x14ac:dyDescent="0.3">
      <c r="A187" t="s">
        <v>199</v>
      </c>
      <c r="D187" s="8" t="s">
        <v>997</v>
      </c>
      <c r="E187" s="8" t="s">
        <v>547</v>
      </c>
    </row>
    <row r="188" spans="1:5" x14ac:dyDescent="0.3">
      <c r="A188" t="s">
        <v>200</v>
      </c>
      <c r="D188" s="8" t="s">
        <v>998</v>
      </c>
      <c r="E188" s="8" t="s">
        <v>545</v>
      </c>
    </row>
    <row r="189" spans="1:5" x14ac:dyDescent="0.3">
      <c r="A189" t="s">
        <v>201</v>
      </c>
      <c r="D189" s="8" t="s">
        <v>999</v>
      </c>
      <c r="E189" s="8" t="s">
        <v>547</v>
      </c>
    </row>
    <row r="190" spans="1:5" x14ac:dyDescent="0.3">
      <c r="A190" t="s">
        <v>202</v>
      </c>
      <c r="D190" s="8" t="s">
        <v>1002</v>
      </c>
      <c r="E190" s="8" t="s">
        <v>581</v>
      </c>
    </row>
    <row r="191" spans="1:5" x14ac:dyDescent="0.3">
      <c r="A191" t="s">
        <v>203</v>
      </c>
      <c r="D191" s="8" t="s">
        <v>1004</v>
      </c>
      <c r="E191" s="8" t="s">
        <v>581</v>
      </c>
    </row>
    <row r="192" spans="1:5" x14ac:dyDescent="0.3">
      <c r="A192" t="s">
        <v>204</v>
      </c>
      <c r="D192" s="8" t="s">
        <v>1005</v>
      </c>
      <c r="E192" s="8" t="s">
        <v>581</v>
      </c>
    </row>
    <row r="193" spans="1:5" x14ac:dyDescent="0.3">
      <c r="A193" t="s">
        <v>205</v>
      </c>
      <c r="D193" s="8" t="s">
        <v>1205</v>
      </c>
      <c r="E193" s="8" t="s">
        <v>559</v>
      </c>
    </row>
    <row r="194" spans="1:5" x14ac:dyDescent="0.3">
      <c r="A194" t="s">
        <v>206</v>
      </c>
      <c r="D194" s="8" t="s">
        <v>1206</v>
      </c>
      <c r="E194" s="8" t="s">
        <v>559</v>
      </c>
    </row>
    <row r="195" spans="1:5" x14ac:dyDescent="0.3">
      <c r="A195" t="s">
        <v>207</v>
      </c>
      <c r="D195" s="8" t="s">
        <v>1066</v>
      </c>
      <c r="E195" s="8" t="s">
        <v>545</v>
      </c>
    </row>
    <row r="196" spans="1:5" x14ac:dyDescent="0.3">
      <c r="A196" t="s">
        <v>208</v>
      </c>
      <c r="D196" s="8" t="s">
        <v>1030</v>
      </c>
      <c r="E196" s="8" t="s">
        <v>559</v>
      </c>
    </row>
    <row r="197" spans="1:5" x14ac:dyDescent="0.3">
      <c r="A197" t="s">
        <v>209</v>
      </c>
      <c r="D197" s="8" t="s">
        <v>1100</v>
      </c>
      <c r="E197" s="8" t="s">
        <v>559</v>
      </c>
    </row>
    <row r="198" spans="1:5" x14ac:dyDescent="0.3">
      <c r="A198" t="s">
        <v>210</v>
      </c>
      <c r="D198" s="8" t="s">
        <v>1207</v>
      </c>
      <c r="E198" s="8" t="s">
        <v>581</v>
      </c>
    </row>
    <row r="199" spans="1:5" x14ac:dyDescent="0.3">
      <c r="A199" t="s">
        <v>211</v>
      </c>
      <c r="D199" s="8" t="s">
        <v>1038</v>
      </c>
      <c r="E199" s="8" t="s">
        <v>581</v>
      </c>
    </row>
    <row r="200" spans="1:5" x14ac:dyDescent="0.3">
      <c r="A200" t="s">
        <v>212</v>
      </c>
      <c r="D200" s="8" t="s">
        <v>1038</v>
      </c>
      <c r="E200" s="8" t="s">
        <v>581</v>
      </c>
    </row>
    <row r="201" spans="1:5" x14ac:dyDescent="0.3">
      <c r="A201" t="s">
        <v>213</v>
      </c>
      <c r="D201" s="8" t="s">
        <v>1038</v>
      </c>
      <c r="E201" s="8" t="s">
        <v>581</v>
      </c>
    </row>
    <row r="202" spans="1:5" x14ac:dyDescent="0.3">
      <c r="A202" t="s">
        <v>214</v>
      </c>
      <c r="D202" s="8" t="s">
        <v>1038</v>
      </c>
      <c r="E202" s="8" t="s">
        <v>581</v>
      </c>
    </row>
    <row r="203" spans="1:5" x14ac:dyDescent="0.3">
      <c r="A203" t="s">
        <v>215</v>
      </c>
      <c r="D203" s="8" t="s">
        <v>1038</v>
      </c>
      <c r="E203" s="8" t="s">
        <v>581</v>
      </c>
    </row>
    <row r="204" spans="1:5" x14ac:dyDescent="0.3">
      <c r="A204" t="s">
        <v>216</v>
      </c>
      <c r="D204" s="8" t="s">
        <v>1038</v>
      </c>
      <c r="E204" s="8" t="s">
        <v>581</v>
      </c>
    </row>
    <row r="205" spans="1:5" x14ac:dyDescent="0.3">
      <c r="A205" t="s">
        <v>217</v>
      </c>
      <c r="D205" s="8" t="s">
        <v>1038</v>
      </c>
      <c r="E205" s="8" t="s">
        <v>581</v>
      </c>
    </row>
    <row r="206" spans="1:5" x14ac:dyDescent="0.3">
      <c r="A206" t="s">
        <v>1267</v>
      </c>
      <c r="D206" s="8" t="s">
        <v>1038</v>
      </c>
      <c r="E206" s="8" t="s">
        <v>581</v>
      </c>
    </row>
    <row r="207" spans="1:5" x14ac:dyDescent="0.3">
      <c r="A207" t="s">
        <v>218</v>
      </c>
      <c r="D207" s="8" t="s">
        <v>1038</v>
      </c>
      <c r="E207" s="8" t="s">
        <v>581</v>
      </c>
    </row>
    <row r="208" spans="1:5" x14ac:dyDescent="0.3">
      <c r="A208" t="s">
        <v>219</v>
      </c>
      <c r="D208" s="8" t="s">
        <v>1038</v>
      </c>
      <c r="E208" s="8" t="s">
        <v>581</v>
      </c>
    </row>
    <row r="209" spans="1:5" x14ac:dyDescent="0.3">
      <c r="A209" t="s">
        <v>220</v>
      </c>
      <c r="D209" s="8" t="s">
        <v>1038</v>
      </c>
      <c r="E209" s="8" t="s">
        <v>581</v>
      </c>
    </row>
    <row r="210" spans="1:5" x14ac:dyDescent="0.3">
      <c r="A210" t="s">
        <v>221</v>
      </c>
      <c r="D210" s="8" t="s">
        <v>1038</v>
      </c>
      <c r="E210" s="8" t="s">
        <v>581</v>
      </c>
    </row>
    <row r="211" spans="1:5" x14ac:dyDescent="0.3">
      <c r="A211" t="s">
        <v>222</v>
      </c>
      <c r="D211" s="8" t="s">
        <v>1038</v>
      </c>
      <c r="E211" s="8" t="s">
        <v>581</v>
      </c>
    </row>
    <row r="212" spans="1:5" x14ac:dyDescent="0.3">
      <c r="A212" t="s">
        <v>223</v>
      </c>
      <c r="D212" s="8" t="s">
        <v>1038</v>
      </c>
      <c r="E212" s="8" t="s">
        <v>581</v>
      </c>
    </row>
    <row r="213" spans="1:5" x14ac:dyDescent="0.3">
      <c r="A213" t="s">
        <v>224</v>
      </c>
      <c r="D213" s="8" t="s">
        <v>1208</v>
      </c>
      <c r="E213" s="8" t="s">
        <v>581</v>
      </c>
    </row>
    <row r="214" spans="1:5" x14ac:dyDescent="0.3">
      <c r="A214" t="s">
        <v>225</v>
      </c>
      <c r="D214" s="8" t="s">
        <v>1208</v>
      </c>
      <c r="E214" s="8" t="s">
        <v>581</v>
      </c>
    </row>
    <row r="215" spans="1:5" x14ac:dyDescent="0.3">
      <c r="A215" t="s">
        <v>226</v>
      </c>
      <c r="D215" s="8" t="s">
        <v>1208</v>
      </c>
      <c r="E215" s="8" t="s">
        <v>581</v>
      </c>
    </row>
    <row r="216" spans="1:5" x14ac:dyDescent="0.3">
      <c r="A216" t="s">
        <v>227</v>
      </c>
      <c r="D216" s="8" t="s">
        <v>1208</v>
      </c>
      <c r="E216" s="8" t="s">
        <v>581</v>
      </c>
    </row>
    <row r="217" spans="1:5" x14ac:dyDescent="0.3">
      <c r="A217" t="s">
        <v>228</v>
      </c>
      <c r="D217" s="8" t="s">
        <v>1208</v>
      </c>
      <c r="E217" s="8" t="s">
        <v>581</v>
      </c>
    </row>
    <row r="218" spans="1:5" x14ac:dyDescent="0.3">
      <c r="A218" t="s">
        <v>229</v>
      </c>
      <c r="D218" s="8" t="s">
        <v>1208</v>
      </c>
      <c r="E218" s="8" t="s">
        <v>581</v>
      </c>
    </row>
    <row r="219" spans="1:5" x14ac:dyDescent="0.3">
      <c r="A219" t="s">
        <v>230</v>
      </c>
      <c r="D219" s="8" t="s">
        <v>1208</v>
      </c>
      <c r="E219" s="8" t="s">
        <v>581</v>
      </c>
    </row>
    <row r="220" spans="1:5" x14ac:dyDescent="0.3">
      <c r="A220" t="s">
        <v>231</v>
      </c>
      <c r="D220" s="8" t="s">
        <v>1208</v>
      </c>
      <c r="E220" s="8" t="s">
        <v>581</v>
      </c>
    </row>
    <row r="221" spans="1:5" x14ac:dyDescent="0.3">
      <c r="A221" t="s">
        <v>232</v>
      </c>
      <c r="D221" s="8" t="s">
        <v>1208</v>
      </c>
      <c r="E221" s="8" t="s">
        <v>581</v>
      </c>
    </row>
    <row r="222" spans="1:5" x14ac:dyDescent="0.3">
      <c r="A222" t="s">
        <v>233</v>
      </c>
      <c r="D222" s="8" t="s">
        <v>1208</v>
      </c>
      <c r="E222" s="8" t="s">
        <v>581</v>
      </c>
    </row>
    <row r="223" spans="1:5" x14ac:dyDescent="0.3">
      <c r="A223" t="s">
        <v>234</v>
      </c>
      <c r="D223" s="8" t="s">
        <v>1208</v>
      </c>
      <c r="E223" s="8" t="s">
        <v>581</v>
      </c>
    </row>
    <row r="224" spans="1:5" x14ac:dyDescent="0.3">
      <c r="A224" t="s">
        <v>235</v>
      </c>
      <c r="D224" s="8" t="s">
        <v>1208</v>
      </c>
      <c r="E224" s="8" t="s">
        <v>581</v>
      </c>
    </row>
    <row r="225" spans="1:5" x14ac:dyDescent="0.3">
      <c r="A225" t="s">
        <v>236</v>
      </c>
      <c r="D225" s="8" t="s">
        <v>1208</v>
      </c>
      <c r="E225" s="8" t="s">
        <v>581</v>
      </c>
    </row>
    <row r="226" spans="1:5" x14ac:dyDescent="0.3">
      <c r="A226" t="s">
        <v>237</v>
      </c>
      <c r="D226" s="8" t="s">
        <v>1208</v>
      </c>
      <c r="E226" s="8" t="s">
        <v>581</v>
      </c>
    </row>
    <row r="227" spans="1:5" x14ac:dyDescent="0.3">
      <c r="A227" t="s">
        <v>238</v>
      </c>
      <c r="D227" s="8" t="s">
        <v>1209</v>
      </c>
      <c r="E227" s="8" t="s">
        <v>581</v>
      </c>
    </row>
    <row r="228" spans="1:5" x14ac:dyDescent="0.3">
      <c r="A228" t="s">
        <v>239</v>
      </c>
      <c r="D228" s="8" t="s">
        <v>1209</v>
      </c>
      <c r="E228" s="8" t="s">
        <v>581</v>
      </c>
    </row>
    <row r="229" spans="1:5" x14ac:dyDescent="0.3">
      <c r="A229" t="s">
        <v>240</v>
      </c>
      <c r="D229" s="8" t="s">
        <v>1209</v>
      </c>
      <c r="E229" s="8" t="s">
        <v>581</v>
      </c>
    </row>
    <row r="230" spans="1:5" x14ac:dyDescent="0.3">
      <c r="A230" t="s">
        <v>241</v>
      </c>
      <c r="D230" s="8" t="s">
        <v>1209</v>
      </c>
      <c r="E230" s="8" t="s">
        <v>581</v>
      </c>
    </row>
    <row r="231" spans="1:5" x14ac:dyDescent="0.3">
      <c r="A231" t="s">
        <v>242</v>
      </c>
      <c r="D231" s="8" t="s">
        <v>1209</v>
      </c>
      <c r="E231" s="8" t="s">
        <v>581</v>
      </c>
    </row>
    <row r="232" spans="1:5" x14ac:dyDescent="0.3">
      <c r="A232" t="s">
        <v>243</v>
      </c>
      <c r="D232" s="8" t="s">
        <v>1209</v>
      </c>
      <c r="E232" s="8" t="s">
        <v>581</v>
      </c>
    </row>
    <row r="233" spans="1:5" x14ac:dyDescent="0.3">
      <c r="A233" t="s">
        <v>244</v>
      </c>
      <c r="D233" s="8" t="s">
        <v>1209</v>
      </c>
      <c r="E233" s="8" t="s">
        <v>581</v>
      </c>
    </row>
    <row r="234" spans="1:5" x14ac:dyDescent="0.3">
      <c r="A234" t="s">
        <v>245</v>
      </c>
      <c r="D234" s="8" t="s">
        <v>1209</v>
      </c>
      <c r="E234" s="8" t="s">
        <v>581</v>
      </c>
    </row>
    <row r="235" spans="1:5" x14ac:dyDescent="0.3">
      <c r="A235" t="s">
        <v>246</v>
      </c>
      <c r="D235" s="8" t="s">
        <v>1209</v>
      </c>
      <c r="E235" s="8" t="s">
        <v>581</v>
      </c>
    </row>
    <row r="236" spans="1:5" x14ac:dyDescent="0.3">
      <c r="A236" t="s">
        <v>247</v>
      </c>
      <c r="D236" s="8" t="s">
        <v>1209</v>
      </c>
      <c r="E236" s="8" t="s">
        <v>581</v>
      </c>
    </row>
    <row r="237" spans="1:5" x14ac:dyDescent="0.3">
      <c r="A237" t="s">
        <v>248</v>
      </c>
      <c r="D237" s="8" t="s">
        <v>1209</v>
      </c>
      <c r="E237" s="8" t="s">
        <v>581</v>
      </c>
    </row>
    <row r="238" spans="1:5" x14ac:dyDescent="0.3">
      <c r="A238" t="s">
        <v>249</v>
      </c>
      <c r="D238" s="8" t="s">
        <v>1209</v>
      </c>
      <c r="E238" s="8" t="s">
        <v>581</v>
      </c>
    </row>
    <row r="239" spans="1:5" x14ac:dyDescent="0.3">
      <c r="A239" t="s">
        <v>250</v>
      </c>
      <c r="D239" s="8" t="s">
        <v>1209</v>
      </c>
      <c r="E239" s="8" t="s">
        <v>581</v>
      </c>
    </row>
    <row r="240" spans="1:5" x14ac:dyDescent="0.3">
      <c r="A240" t="s">
        <v>251</v>
      </c>
      <c r="D240" s="8" t="s">
        <v>1209</v>
      </c>
      <c r="E240" s="8" t="s">
        <v>581</v>
      </c>
    </row>
    <row r="241" spans="1:5" x14ac:dyDescent="0.3">
      <c r="A241" t="s">
        <v>252</v>
      </c>
      <c r="D241" s="8" t="s">
        <v>1210</v>
      </c>
      <c r="E241" s="8" t="s">
        <v>581</v>
      </c>
    </row>
    <row r="242" spans="1:5" x14ac:dyDescent="0.3">
      <c r="A242" t="s">
        <v>253</v>
      </c>
      <c r="D242" s="8" t="s">
        <v>1210</v>
      </c>
      <c r="E242" s="8" t="s">
        <v>581</v>
      </c>
    </row>
    <row r="243" spans="1:5" x14ac:dyDescent="0.3">
      <c r="A243" t="s">
        <v>254</v>
      </c>
      <c r="D243" s="8" t="s">
        <v>1210</v>
      </c>
      <c r="E243" s="8" t="s">
        <v>581</v>
      </c>
    </row>
    <row r="244" spans="1:5" x14ac:dyDescent="0.3">
      <c r="A244" t="s">
        <v>255</v>
      </c>
      <c r="D244" s="8" t="s">
        <v>1210</v>
      </c>
      <c r="E244" s="8" t="s">
        <v>581</v>
      </c>
    </row>
    <row r="245" spans="1:5" x14ac:dyDescent="0.3">
      <c r="A245" t="s">
        <v>1268</v>
      </c>
      <c r="D245" s="8" t="s">
        <v>1210</v>
      </c>
      <c r="E245" s="8" t="s">
        <v>581</v>
      </c>
    </row>
    <row r="246" spans="1:5" x14ac:dyDescent="0.3">
      <c r="A246" t="s">
        <v>1269</v>
      </c>
      <c r="D246" s="8" t="s">
        <v>1210</v>
      </c>
      <c r="E246" s="8" t="s">
        <v>581</v>
      </c>
    </row>
    <row r="247" spans="1:5" x14ac:dyDescent="0.3">
      <c r="A247" t="s">
        <v>256</v>
      </c>
      <c r="D247" s="8" t="s">
        <v>1210</v>
      </c>
      <c r="E247" s="8" t="s">
        <v>581</v>
      </c>
    </row>
    <row r="248" spans="1:5" x14ac:dyDescent="0.3">
      <c r="A248" t="s">
        <v>257</v>
      </c>
      <c r="D248" s="8" t="s">
        <v>1210</v>
      </c>
      <c r="E248" s="8" t="s">
        <v>581</v>
      </c>
    </row>
    <row r="249" spans="1:5" x14ac:dyDescent="0.3">
      <c r="A249" t="s">
        <v>258</v>
      </c>
      <c r="D249" s="8" t="s">
        <v>1210</v>
      </c>
      <c r="E249" s="8" t="s">
        <v>581</v>
      </c>
    </row>
    <row r="250" spans="1:5" x14ac:dyDescent="0.3">
      <c r="A250" t="s">
        <v>259</v>
      </c>
      <c r="D250" s="8" t="s">
        <v>1210</v>
      </c>
      <c r="E250" s="8" t="s">
        <v>581</v>
      </c>
    </row>
    <row r="251" spans="1:5" x14ac:dyDescent="0.3">
      <c r="A251" t="s">
        <v>260</v>
      </c>
      <c r="D251" s="8" t="s">
        <v>1210</v>
      </c>
      <c r="E251" s="8" t="s">
        <v>581</v>
      </c>
    </row>
    <row r="252" spans="1:5" x14ac:dyDescent="0.3">
      <c r="A252" t="s">
        <v>261</v>
      </c>
      <c r="D252" s="8" t="s">
        <v>1210</v>
      </c>
      <c r="E252" s="8" t="s">
        <v>581</v>
      </c>
    </row>
    <row r="253" spans="1:5" x14ac:dyDescent="0.3">
      <c r="A253" t="s">
        <v>262</v>
      </c>
      <c r="D253" s="8" t="s">
        <v>1210</v>
      </c>
      <c r="E253" s="8" t="s">
        <v>581</v>
      </c>
    </row>
    <row r="254" spans="1:5" x14ac:dyDescent="0.3">
      <c r="A254" t="s">
        <v>263</v>
      </c>
      <c r="D254" s="8" t="s">
        <v>1210</v>
      </c>
      <c r="E254" s="8" t="s">
        <v>581</v>
      </c>
    </row>
    <row r="255" spans="1:5" x14ac:dyDescent="0.3">
      <c r="A255" t="s">
        <v>264</v>
      </c>
      <c r="D255" s="8" t="s">
        <v>1211</v>
      </c>
      <c r="E255" s="8" t="s">
        <v>581</v>
      </c>
    </row>
    <row r="256" spans="1:5" x14ac:dyDescent="0.3">
      <c r="A256" t="s">
        <v>265</v>
      </c>
      <c r="D256" s="8" t="s">
        <v>1211</v>
      </c>
      <c r="E256" s="8" t="s">
        <v>581</v>
      </c>
    </row>
    <row r="257" spans="1:5" x14ac:dyDescent="0.3">
      <c r="A257" t="s">
        <v>266</v>
      </c>
      <c r="D257" s="8" t="s">
        <v>1211</v>
      </c>
      <c r="E257" s="8" t="s">
        <v>581</v>
      </c>
    </row>
    <row r="258" spans="1:5" x14ac:dyDescent="0.3">
      <c r="A258" t="s">
        <v>267</v>
      </c>
      <c r="D258" s="8" t="s">
        <v>1211</v>
      </c>
      <c r="E258" s="8" t="s">
        <v>581</v>
      </c>
    </row>
    <row r="259" spans="1:5" x14ac:dyDescent="0.3">
      <c r="A259" t="s">
        <v>268</v>
      </c>
      <c r="D259" s="8" t="s">
        <v>1211</v>
      </c>
      <c r="E259" s="8" t="s">
        <v>581</v>
      </c>
    </row>
    <row r="260" spans="1:5" x14ac:dyDescent="0.3">
      <c r="A260" t="s">
        <v>269</v>
      </c>
      <c r="D260" s="8" t="s">
        <v>1211</v>
      </c>
      <c r="E260" s="8" t="s">
        <v>581</v>
      </c>
    </row>
    <row r="261" spans="1:5" x14ac:dyDescent="0.3">
      <c r="A261" t="s">
        <v>270</v>
      </c>
      <c r="D261" s="8" t="s">
        <v>1211</v>
      </c>
      <c r="E261" s="8" t="s">
        <v>581</v>
      </c>
    </row>
    <row r="262" spans="1:5" x14ac:dyDescent="0.3">
      <c r="A262" t="s">
        <v>271</v>
      </c>
      <c r="D262" s="8" t="s">
        <v>1211</v>
      </c>
      <c r="E262" s="8" t="s">
        <v>581</v>
      </c>
    </row>
    <row r="263" spans="1:5" x14ac:dyDescent="0.3">
      <c r="A263" t="s">
        <v>272</v>
      </c>
      <c r="D263" s="8" t="s">
        <v>1211</v>
      </c>
      <c r="E263" s="8" t="s">
        <v>581</v>
      </c>
    </row>
    <row r="264" spans="1:5" x14ac:dyDescent="0.3">
      <c r="A264" t="s">
        <v>273</v>
      </c>
      <c r="D264" s="8" t="s">
        <v>1211</v>
      </c>
      <c r="E264" s="8" t="s">
        <v>581</v>
      </c>
    </row>
    <row r="265" spans="1:5" x14ac:dyDescent="0.3">
      <c r="A265" t="s">
        <v>1270</v>
      </c>
      <c r="D265" s="8" t="s">
        <v>1211</v>
      </c>
      <c r="E265" s="8" t="s">
        <v>581</v>
      </c>
    </row>
    <row r="266" spans="1:5" x14ac:dyDescent="0.3">
      <c r="A266" t="s">
        <v>274</v>
      </c>
      <c r="D266" s="8" t="s">
        <v>1211</v>
      </c>
      <c r="E266" s="8" t="s">
        <v>581</v>
      </c>
    </row>
    <row r="267" spans="1:5" x14ac:dyDescent="0.3">
      <c r="A267" t="s">
        <v>275</v>
      </c>
      <c r="D267" s="8" t="s">
        <v>1211</v>
      </c>
      <c r="E267" s="8" t="s">
        <v>581</v>
      </c>
    </row>
    <row r="268" spans="1:5" x14ac:dyDescent="0.3">
      <c r="A268" t="s">
        <v>276</v>
      </c>
      <c r="D268" s="8" t="s">
        <v>1211</v>
      </c>
      <c r="E268" s="8" t="s">
        <v>581</v>
      </c>
    </row>
    <row r="269" spans="1:5" x14ac:dyDescent="0.3">
      <c r="A269" t="s">
        <v>277</v>
      </c>
      <c r="D269" s="8" t="s">
        <v>1212</v>
      </c>
      <c r="E269" s="8" t="s">
        <v>581</v>
      </c>
    </row>
    <row r="270" spans="1:5" x14ac:dyDescent="0.3">
      <c r="A270" t="s">
        <v>278</v>
      </c>
      <c r="D270" s="8" t="s">
        <v>1212</v>
      </c>
      <c r="E270" s="8" t="s">
        <v>581</v>
      </c>
    </row>
    <row r="271" spans="1:5" x14ac:dyDescent="0.3">
      <c r="A271" t="s">
        <v>279</v>
      </c>
      <c r="D271" s="8" t="s">
        <v>1212</v>
      </c>
      <c r="E271" s="8" t="s">
        <v>581</v>
      </c>
    </row>
    <row r="272" spans="1:5" x14ac:dyDescent="0.3">
      <c r="A272" t="s">
        <v>280</v>
      </c>
      <c r="D272" s="8" t="s">
        <v>1212</v>
      </c>
      <c r="E272" s="8" t="s">
        <v>581</v>
      </c>
    </row>
    <row r="273" spans="1:5" x14ac:dyDescent="0.3">
      <c r="A273" t="s">
        <v>281</v>
      </c>
      <c r="D273" s="8" t="s">
        <v>1212</v>
      </c>
      <c r="E273" s="8" t="s">
        <v>581</v>
      </c>
    </row>
    <row r="274" spans="1:5" x14ac:dyDescent="0.3">
      <c r="A274" t="s">
        <v>282</v>
      </c>
      <c r="D274" s="8" t="s">
        <v>1212</v>
      </c>
      <c r="E274" s="8" t="s">
        <v>581</v>
      </c>
    </row>
    <row r="275" spans="1:5" x14ac:dyDescent="0.3">
      <c r="A275" t="s">
        <v>283</v>
      </c>
      <c r="D275" s="8" t="s">
        <v>1212</v>
      </c>
      <c r="E275" s="8" t="s">
        <v>581</v>
      </c>
    </row>
    <row r="276" spans="1:5" x14ac:dyDescent="0.3">
      <c r="A276" t="s">
        <v>284</v>
      </c>
      <c r="D276" s="8" t="s">
        <v>1212</v>
      </c>
      <c r="E276" s="8" t="s">
        <v>581</v>
      </c>
    </row>
    <row r="277" spans="1:5" x14ac:dyDescent="0.3">
      <c r="A277" t="s">
        <v>285</v>
      </c>
      <c r="D277" s="8" t="s">
        <v>1212</v>
      </c>
      <c r="E277" s="8" t="s">
        <v>581</v>
      </c>
    </row>
    <row r="278" spans="1:5" x14ac:dyDescent="0.3">
      <c r="A278" t="s">
        <v>286</v>
      </c>
      <c r="D278" s="8" t="s">
        <v>1212</v>
      </c>
      <c r="E278" s="8" t="s">
        <v>581</v>
      </c>
    </row>
    <row r="279" spans="1:5" x14ac:dyDescent="0.3">
      <c r="A279" t="s">
        <v>287</v>
      </c>
      <c r="D279" s="8" t="s">
        <v>1212</v>
      </c>
      <c r="E279" s="8" t="s">
        <v>581</v>
      </c>
    </row>
    <row r="280" spans="1:5" x14ac:dyDescent="0.3">
      <c r="A280" t="s">
        <v>288</v>
      </c>
      <c r="D280" s="8" t="s">
        <v>1212</v>
      </c>
      <c r="E280" s="8" t="s">
        <v>581</v>
      </c>
    </row>
    <row r="281" spans="1:5" x14ac:dyDescent="0.3">
      <c r="A281" t="s">
        <v>289</v>
      </c>
      <c r="D281" s="8" t="s">
        <v>1212</v>
      </c>
      <c r="E281" s="8" t="s">
        <v>581</v>
      </c>
    </row>
    <row r="282" spans="1:5" x14ac:dyDescent="0.3">
      <c r="A282" t="s">
        <v>290</v>
      </c>
      <c r="D282" s="8" t="s">
        <v>1212</v>
      </c>
      <c r="E282" s="8" t="s">
        <v>581</v>
      </c>
    </row>
    <row r="283" spans="1:5" x14ac:dyDescent="0.3">
      <c r="A283" t="s">
        <v>291</v>
      </c>
      <c r="D283" s="8" t="s">
        <v>1213</v>
      </c>
      <c r="E283" s="8" t="s">
        <v>581</v>
      </c>
    </row>
    <row r="284" spans="1:5" x14ac:dyDescent="0.3">
      <c r="A284" t="s">
        <v>292</v>
      </c>
      <c r="D284" s="8" t="s">
        <v>1213</v>
      </c>
      <c r="E284" s="8" t="s">
        <v>581</v>
      </c>
    </row>
    <row r="285" spans="1:5" x14ac:dyDescent="0.3">
      <c r="A285" t="s">
        <v>293</v>
      </c>
      <c r="D285" s="8" t="s">
        <v>1213</v>
      </c>
      <c r="E285" s="8" t="s">
        <v>581</v>
      </c>
    </row>
    <row r="286" spans="1:5" x14ac:dyDescent="0.3">
      <c r="A286" t="s">
        <v>294</v>
      </c>
      <c r="D286" s="8" t="s">
        <v>1213</v>
      </c>
      <c r="E286" s="8" t="s">
        <v>581</v>
      </c>
    </row>
    <row r="287" spans="1:5" x14ac:dyDescent="0.3">
      <c r="A287" t="s">
        <v>295</v>
      </c>
      <c r="D287" s="8" t="s">
        <v>1213</v>
      </c>
      <c r="E287" s="8" t="s">
        <v>581</v>
      </c>
    </row>
    <row r="288" spans="1:5" x14ac:dyDescent="0.3">
      <c r="A288" t="s">
        <v>296</v>
      </c>
      <c r="D288" s="8" t="s">
        <v>1213</v>
      </c>
      <c r="E288" s="8" t="s">
        <v>581</v>
      </c>
    </row>
    <row r="289" spans="1:5" x14ac:dyDescent="0.3">
      <c r="A289" t="s">
        <v>297</v>
      </c>
      <c r="D289" s="8" t="s">
        <v>1213</v>
      </c>
      <c r="E289" s="8" t="s">
        <v>581</v>
      </c>
    </row>
    <row r="290" spans="1:5" x14ac:dyDescent="0.3">
      <c r="A290" t="s">
        <v>298</v>
      </c>
      <c r="D290" s="8" t="s">
        <v>1213</v>
      </c>
      <c r="E290" s="8" t="s">
        <v>581</v>
      </c>
    </row>
    <row r="291" spans="1:5" x14ac:dyDescent="0.3">
      <c r="A291" t="s">
        <v>299</v>
      </c>
      <c r="D291" s="8" t="s">
        <v>1213</v>
      </c>
      <c r="E291" s="8" t="s">
        <v>581</v>
      </c>
    </row>
    <row r="292" spans="1:5" x14ac:dyDescent="0.3">
      <c r="A292" t="s">
        <v>300</v>
      </c>
      <c r="D292" s="8" t="s">
        <v>1213</v>
      </c>
      <c r="E292" s="8" t="s">
        <v>581</v>
      </c>
    </row>
    <row r="293" spans="1:5" x14ac:dyDescent="0.3">
      <c r="A293" t="s">
        <v>301</v>
      </c>
      <c r="D293" s="8" t="s">
        <v>1213</v>
      </c>
      <c r="E293" s="8" t="s">
        <v>581</v>
      </c>
    </row>
    <row r="294" spans="1:5" x14ac:dyDescent="0.3">
      <c r="A294" t="s">
        <v>302</v>
      </c>
      <c r="D294" s="8" t="s">
        <v>1213</v>
      </c>
      <c r="E294" s="8" t="s">
        <v>581</v>
      </c>
    </row>
    <row r="295" spans="1:5" x14ac:dyDescent="0.3">
      <c r="A295" t="s">
        <v>303</v>
      </c>
      <c r="D295" s="8" t="s">
        <v>1213</v>
      </c>
      <c r="E295" s="8" t="s">
        <v>581</v>
      </c>
    </row>
    <row r="296" spans="1:5" x14ac:dyDescent="0.3">
      <c r="A296" t="s">
        <v>304</v>
      </c>
      <c r="D296" s="8" t="s">
        <v>1213</v>
      </c>
      <c r="E296" s="8" t="s">
        <v>581</v>
      </c>
    </row>
    <row r="297" spans="1:5" x14ac:dyDescent="0.3">
      <c r="A297" t="s">
        <v>305</v>
      </c>
      <c r="D297" s="8" t="s">
        <v>1214</v>
      </c>
      <c r="E297" s="8" t="s">
        <v>581</v>
      </c>
    </row>
    <row r="298" spans="1:5" x14ac:dyDescent="0.3">
      <c r="A298" t="s">
        <v>306</v>
      </c>
      <c r="D298" s="8" t="s">
        <v>1214</v>
      </c>
      <c r="E298" s="8" t="s">
        <v>581</v>
      </c>
    </row>
    <row r="299" spans="1:5" x14ac:dyDescent="0.3">
      <c r="A299" t="s">
        <v>307</v>
      </c>
      <c r="D299" s="8" t="s">
        <v>1214</v>
      </c>
      <c r="E299" s="8" t="s">
        <v>581</v>
      </c>
    </row>
    <row r="300" spans="1:5" x14ac:dyDescent="0.3">
      <c r="A300" t="s">
        <v>308</v>
      </c>
      <c r="D300" s="8" t="s">
        <v>1214</v>
      </c>
      <c r="E300" s="8" t="s">
        <v>581</v>
      </c>
    </row>
    <row r="301" spans="1:5" x14ac:dyDescent="0.3">
      <c r="A301" t="s">
        <v>309</v>
      </c>
      <c r="D301" s="8" t="s">
        <v>1214</v>
      </c>
      <c r="E301" s="8" t="s">
        <v>581</v>
      </c>
    </row>
    <row r="302" spans="1:5" x14ac:dyDescent="0.3">
      <c r="A302" t="s">
        <v>310</v>
      </c>
      <c r="D302" s="8" t="s">
        <v>1214</v>
      </c>
      <c r="E302" s="8" t="s">
        <v>581</v>
      </c>
    </row>
    <row r="303" spans="1:5" x14ac:dyDescent="0.3">
      <c r="A303" t="s">
        <v>311</v>
      </c>
      <c r="D303" s="8" t="s">
        <v>1214</v>
      </c>
      <c r="E303" s="8" t="s">
        <v>581</v>
      </c>
    </row>
    <row r="304" spans="1:5" x14ac:dyDescent="0.3">
      <c r="A304" t="s">
        <v>312</v>
      </c>
      <c r="D304" s="8" t="s">
        <v>1214</v>
      </c>
      <c r="E304" s="8" t="s">
        <v>581</v>
      </c>
    </row>
    <row r="305" spans="1:5" x14ac:dyDescent="0.3">
      <c r="A305" t="s">
        <v>313</v>
      </c>
      <c r="D305" s="8" t="s">
        <v>1214</v>
      </c>
      <c r="E305" s="8" t="s">
        <v>581</v>
      </c>
    </row>
    <row r="306" spans="1:5" x14ac:dyDescent="0.3">
      <c r="A306" t="s">
        <v>314</v>
      </c>
      <c r="D306" s="8" t="s">
        <v>1214</v>
      </c>
      <c r="E306" s="8" t="s">
        <v>581</v>
      </c>
    </row>
    <row r="307" spans="1:5" x14ac:dyDescent="0.3">
      <c r="A307" t="s">
        <v>315</v>
      </c>
      <c r="D307" s="8" t="s">
        <v>1214</v>
      </c>
      <c r="E307" s="8" t="s">
        <v>581</v>
      </c>
    </row>
    <row r="308" spans="1:5" x14ac:dyDescent="0.3">
      <c r="A308" t="s">
        <v>316</v>
      </c>
      <c r="D308" s="8" t="s">
        <v>1214</v>
      </c>
      <c r="E308" s="8" t="s">
        <v>581</v>
      </c>
    </row>
    <row r="309" spans="1:5" x14ac:dyDescent="0.3">
      <c r="A309" t="s">
        <v>317</v>
      </c>
      <c r="D309" s="8" t="s">
        <v>1214</v>
      </c>
      <c r="E309" s="8" t="s">
        <v>581</v>
      </c>
    </row>
    <row r="310" spans="1:5" x14ac:dyDescent="0.3">
      <c r="A310" t="s">
        <v>318</v>
      </c>
      <c r="D310" s="8" t="s">
        <v>1214</v>
      </c>
      <c r="E310" s="8" t="s">
        <v>581</v>
      </c>
    </row>
    <row r="311" spans="1:5" x14ac:dyDescent="0.3">
      <c r="A311" t="s">
        <v>319</v>
      </c>
      <c r="D311" s="8" t="s">
        <v>1215</v>
      </c>
      <c r="E311" s="8" t="s">
        <v>581</v>
      </c>
    </row>
    <row r="312" spans="1:5" x14ac:dyDescent="0.3">
      <c r="A312" t="s">
        <v>320</v>
      </c>
      <c r="D312" s="8" t="s">
        <v>1215</v>
      </c>
      <c r="E312" s="8" t="s">
        <v>581</v>
      </c>
    </row>
    <row r="313" spans="1:5" x14ac:dyDescent="0.3">
      <c r="A313" t="s">
        <v>321</v>
      </c>
      <c r="D313" s="8" t="s">
        <v>1215</v>
      </c>
      <c r="E313" s="8" t="s">
        <v>581</v>
      </c>
    </row>
    <row r="314" spans="1:5" x14ac:dyDescent="0.3">
      <c r="A314" t="s">
        <v>322</v>
      </c>
      <c r="D314" s="8" t="s">
        <v>1215</v>
      </c>
      <c r="E314" s="8" t="s">
        <v>581</v>
      </c>
    </row>
    <row r="315" spans="1:5" x14ac:dyDescent="0.3">
      <c r="A315" t="s">
        <v>323</v>
      </c>
      <c r="D315" s="8" t="s">
        <v>1215</v>
      </c>
      <c r="E315" s="8" t="s">
        <v>581</v>
      </c>
    </row>
    <row r="316" spans="1:5" x14ac:dyDescent="0.3">
      <c r="A316" t="s">
        <v>324</v>
      </c>
      <c r="D316" s="8" t="s">
        <v>1215</v>
      </c>
      <c r="E316" s="8" t="s">
        <v>581</v>
      </c>
    </row>
    <row r="317" spans="1:5" x14ac:dyDescent="0.3">
      <c r="A317" t="s">
        <v>325</v>
      </c>
      <c r="D317" s="8" t="s">
        <v>1215</v>
      </c>
      <c r="E317" s="8" t="s">
        <v>581</v>
      </c>
    </row>
    <row r="318" spans="1:5" x14ac:dyDescent="0.3">
      <c r="A318" t="s">
        <v>326</v>
      </c>
      <c r="D318" s="8" t="s">
        <v>1215</v>
      </c>
      <c r="E318" s="8" t="s">
        <v>581</v>
      </c>
    </row>
    <row r="319" spans="1:5" x14ac:dyDescent="0.3">
      <c r="A319" t="s">
        <v>327</v>
      </c>
      <c r="D319" s="8" t="s">
        <v>1215</v>
      </c>
      <c r="E319" s="8" t="s">
        <v>581</v>
      </c>
    </row>
    <row r="320" spans="1:5" x14ac:dyDescent="0.3">
      <c r="A320" t="s">
        <v>328</v>
      </c>
      <c r="D320" s="8" t="s">
        <v>1215</v>
      </c>
      <c r="E320" s="8" t="s">
        <v>581</v>
      </c>
    </row>
    <row r="321" spans="1:5" x14ac:dyDescent="0.3">
      <c r="A321" t="s">
        <v>329</v>
      </c>
      <c r="D321" s="8" t="s">
        <v>1215</v>
      </c>
      <c r="E321" s="8" t="s">
        <v>581</v>
      </c>
    </row>
    <row r="322" spans="1:5" x14ac:dyDescent="0.3">
      <c r="A322" t="s">
        <v>330</v>
      </c>
      <c r="D322" s="8" t="s">
        <v>1215</v>
      </c>
      <c r="E322" s="8" t="s">
        <v>581</v>
      </c>
    </row>
    <row r="323" spans="1:5" x14ac:dyDescent="0.3">
      <c r="A323" t="s">
        <v>331</v>
      </c>
      <c r="D323" s="8" t="s">
        <v>1215</v>
      </c>
      <c r="E323" s="8" t="s">
        <v>581</v>
      </c>
    </row>
    <row r="324" spans="1:5" x14ac:dyDescent="0.3">
      <c r="A324" t="s">
        <v>332</v>
      </c>
      <c r="D324" s="8" t="s">
        <v>1215</v>
      </c>
      <c r="E324" s="8" t="s">
        <v>581</v>
      </c>
    </row>
    <row r="325" spans="1:5" x14ac:dyDescent="0.3">
      <c r="A325" t="s">
        <v>333</v>
      </c>
      <c r="D325" s="8" t="s">
        <v>1216</v>
      </c>
      <c r="E325" s="8" t="s">
        <v>581</v>
      </c>
    </row>
    <row r="326" spans="1:5" x14ac:dyDescent="0.3">
      <c r="A326" t="s">
        <v>334</v>
      </c>
      <c r="D326" s="8" t="s">
        <v>1216</v>
      </c>
      <c r="E326" s="8" t="s">
        <v>581</v>
      </c>
    </row>
    <row r="327" spans="1:5" x14ac:dyDescent="0.3">
      <c r="A327" t="s">
        <v>335</v>
      </c>
      <c r="D327" s="8" t="s">
        <v>1216</v>
      </c>
      <c r="E327" s="8" t="s">
        <v>581</v>
      </c>
    </row>
    <row r="328" spans="1:5" x14ac:dyDescent="0.3">
      <c r="A328" t="s">
        <v>336</v>
      </c>
      <c r="D328" s="8" t="s">
        <v>1216</v>
      </c>
      <c r="E328" s="8" t="s">
        <v>581</v>
      </c>
    </row>
    <row r="329" spans="1:5" x14ac:dyDescent="0.3">
      <c r="A329" t="s">
        <v>337</v>
      </c>
      <c r="D329" s="8" t="s">
        <v>1216</v>
      </c>
      <c r="E329" s="8" t="s">
        <v>581</v>
      </c>
    </row>
    <row r="330" spans="1:5" x14ac:dyDescent="0.3">
      <c r="A330" t="s">
        <v>338</v>
      </c>
      <c r="D330" s="8" t="s">
        <v>1216</v>
      </c>
      <c r="E330" s="8" t="s">
        <v>581</v>
      </c>
    </row>
    <row r="331" spans="1:5" x14ac:dyDescent="0.3">
      <c r="A331" t="s">
        <v>339</v>
      </c>
      <c r="D331" s="8" t="s">
        <v>1216</v>
      </c>
      <c r="E331" s="8" t="s">
        <v>581</v>
      </c>
    </row>
    <row r="332" spans="1:5" x14ac:dyDescent="0.3">
      <c r="A332" t="s">
        <v>340</v>
      </c>
      <c r="D332" s="8" t="s">
        <v>1216</v>
      </c>
      <c r="E332" s="8" t="s">
        <v>581</v>
      </c>
    </row>
    <row r="333" spans="1:5" x14ac:dyDescent="0.3">
      <c r="A333" t="s">
        <v>341</v>
      </c>
      <c r="D333" s="8" t="s">
        <v>1216</v>
      </c>
      <c r="E333" s="8" t="s">
        <v>581</v>
      </c>
    </row>
    <row r="334" spans="1:5" x14ac:dyDescent="0.3">
      <c r="A334" t="s">
        <v>342</v>
      </c>
      <c r="D334" s="8" t="s">
        <v>1216</v>
      </c>
      <c r="E334" s="8" t="s">
        <v>581</v>
      </c>
    </row>
    <row r="335" spans="1:5" x14ac:dyDescent="0.3">
      <c r="A335" t="s">
        <v>343</v>
      </c>
      <c r="D335" s="8" t="s">
        <v>1216</v>
      </c>
      <c r="E335" s="8" t="s">
        <v>581</v>
      </c>
    </row>
    <row r="336" spans="1:5" x14ac:dyDescent="0.3">
      <c r="A336" t="s">
        <v>344</v>
      </c>
      <c r="D336" s="8" t="s">
        <v>1216</v>
      </c>
      <c r="E336" s="8" t="s">
        <v>581</v>
      </c>
    </row>
    <row r="337" spans="1:5" x14ac:dyDescent="0.3">
      <c r="A337" t="s">
        <v>345</v>
      </c>
      <c r="D337" s="8" t="s">
        <v>1216</v>
      </c>
      <c r="E337" s="8" t="s">
        <v>581</v>
      </c>
    </row>
    <row r="338" spans="1:5" x14ac:dyDescent="0.3">
      <c r="A338" t="s">
        <v>346</v>
      </c>
      <c r="D338" s="8" t="s">
        <v>1216</v>
      </c>
      <c r="E338" s="8" t="s">
        <v>581</v>
      </c>
    </row>
    <row r="339" spans="1:5" x14ac:dyDescent="0.3">
      <c r="A339" t="s">
        <v>347</v>
      </c>
      <c r="D339" s="8" t="s">
        <v>722</v>
      </c>
      <c r="E339" s="8" t="s">
        <v>565</v>
      </c>
    </row>
    <row r="340" spans="1:5" x14ac:dyDescent="0.3">
      <c r="A340" t="s">
        <v>348</v>
      </c>
      <c r="D340" s="8" t="s">
        <v>723</v>
      </c>
      <c r="E340" s="8" t="s">
        <v>565</v>
      </c>
    </row>
    <row r="341" spans="1:5" x14ac:dyDescent="0.3">
      <c r="A341" t="s">
        <v>349</v>
      </c>
      <c r="D341" s="8" t="s">
        <v>724</v>
      </c>
      <c r="E341" s="8" t="s">
        <v>564</v>
      </c>
    </row>
    <row r="342" spans="1:5" x14ac:dyDescent="0.3">
      <c r="A342" t="s">
        <v>350</v>
      </c>
      <c r="D342" s="8" t="s">
        <v>725</v>
      </c>
      <c r="E342" s="8" t="s">
        <v>565</v>
      </c>
    </row>
    <row r="343" spans="1:5" x14ac:dyDescent="0.3">
      <c r="A343" t="s">
        <v>351</v>
      </c>
      <c r="D343" s="8" t="s">
        <v>726</v>
      </c>
      <c r="E343" s="8" t="s">
        <v>552</v>
      </c>
    </row>
    <row r="344" spans="1:5" x14ac:dyDescent="0.3">
      <c r="A344" t="s">
        <v>352</v>
      </c>
      <c r="D344" s="8" t="s">
        <v>727</v>
      </c>
      <c r="E344" s="8" t="s">
        <v>565</v>
      </c>
    </row>
    <row r="345" spans="1:5" x14ac:dyDescent="0.3">
      <c r="A345" t="s">
        <v>353</v>
      </c>
      <c r="D345" s="8" t="s">
        <v>728</v>
      </c>
      <c r="E345" s="8" t="s">
        <v>564</v>
      </c>
    </row>
    <row r="346" spans="1:5" x14ac:dyDescent="0.3">
      <c r="A346" t="s">
        <v>354</v>
      </c>
      <c r="D346" s="8" t="s">
        <v>729</v>
      </c>
      <c r="E346" s="8" t="s">
        <v>565</v>
      </c>
    </row>
    <row r="347" spans="1:5" x14ac:dyDescent="0.3">
      <c r="A347" t="s">
        <v>355</v>
      </c>
      <c r="D347" s="8" t="s">
        <v>730</v>
      </c>
      <c r="E347" s="8" t="s">
        <v>552</v>
      </c>
    </row>
    <row r="348" spans="1:5" x14ac:dyDescent="0.3">
      <c r="A348" t="s">
        <v>356</v>
      </c>
      <c r="D348" s="8" t="s">
        <v>731</v>
      </c>
      <c r="E348" s="8" t="s">
        <v>565</v>
      </c>
    </row>
    <row r="349" spans="1:5" x14ac:dyDescent="0.3">
      <c r="A349" t="s">
        <v>357</v>
      </c>
      <c r="D349" s="8" t="s">
        <v>732</v>
      </c>
      <c r="E349" s="8" t="s">
        <v>552</v>
      </c>
    </row>
    <row r="350" spans="1:5" x14ac:dyDescent="0.3">
      <c r="A350" t="s">
        <v>358</v>
      </c>
      <c r="D350" s="8" t="s">
        <v>733</v>
      </c>
      <c r="E350" s="8" t="s">
        <v>565</v>
      </c>
    </row>
    <row r="351" spans="1:5" x14ac:dyDescent="0.3">
      <c r="A351" t="s">
        <v>359</v>
      </c>
      <c r="D351" s="8" t="s">
        <v>734</v>
      </c>
      <c r="E351" s="8" t="s">
        <v>552</v>
      </c>
    </row>
    <row r="352" spans="1:5" x14ac:dyDescent="0.3">
      <c r="A352" t="s">
        <v>360</v>
      </c>
      <c r="D352" s="8" t="s">
        <v>50</v>
      </c>
      <c r="E352" s="8" t="s">
        <v>545</v>
      </c>
    </row>
    <row r="353" spans="1:5" x14ac:dyDescent="0.3">
      <c r="A353" t="s">
        <v>361</v>
      </c>
      <c r="D353" s="8" t="s">
        <v>51</v>
      </c>
      <c r="E353" s="8" t="s">
        <v>548</v>
      </c>
    </row>
    <row r="354" spans="1:5" x14ac:dyDescent="0.3">
      <c r="A354" t="s">
        <v>362</v>
      </c>
      <c r="D354" s="8" t="s">
        <v>54</v>
      </c>
      <c r="E354" s="8" t="s">
        <v>546</v>
      </c>
    </row>
    <row r="355" spans="1:5" x14ac:dyDescent="0.3">
      <c r="A355" t="s">
        <v>363</v>
      </c>
      <c r="D355" s="8" t="s">
        <v>54</v>
      </c>
      <c r="E355" s="8" t="s">
        <v>548</v>
      </c>
    </row>
    <row r="356" spans="1:5" x14ac:dyDescent="0.3">
      <c r="A356" t="s">
        <v>364</v>
      </c>
      <c r="D356" s="8" t="s">
        <v>54</v>
      </c>
      <c r="E356" s="8" t="s">
        <v>546</v>
      </c>
    </row>
    <row r="357" spans="1:5" x14ac:dyDescent="0.3">
      <c r="A357" t="s">
        <v>365</v>
      </c>
      <c r="D357" s="8" t="s">
        <v>584</v>
      </c>
      <c r="E357" s="8" t="s">
        <v>553</v>
      </c>
    </row>
    <row r="358" spans="1:5" x14ac:dyDescent="0.3">
      <c r="A358" t="s">
        <v>366</v>
      </c>
      <c r="D358" s="8" t="s">
        <v>584</v>
      </c>
      <c r="E358" s="8" t="s">
        <v>553</v>
      </c>
    </row>
    <row r="359" spans="1:5" x14ac:dyDescent="0.3">
      <c r="A359" t="s">
        <v>367</v>
      </c>
      <c r="D359" s="8" t="s">
        <v>623</v>
      </c>
      <c r="E359" s="8" t="s">
        <v>552</v>
      </c>
    </row>
    <row r="360" spans="1:5" x14ac:dyDescent="0.3">
      <c r="A360" t="s">
        <v>368</v>
      </c>
      <c r="D360" s="8" t="s">
        <v>623</v>
      </c>
      <c r="E360" s="8" t="s">
        <v>552</v>
      </c>
    </row>
    <row r="361" spans="1:5" x14ac:dyDescent="0.3">
      <c r="A361" t="s">
        <v>369</v>
      </c>
      <c r="D361" s="8" t="s">
        <v>623</v>
      </c>
      <c r="E361" s="8" t="s">
        <v>546</v>
      </c>
    </row>
    <row r="362" spans="1:5" x14ac:dyDescent="0.3">
      <c r="A362" t="s">
        <v>370</v>
      </c>
      <c r="D362" s="8" t="s">
        <v>646</v>
      </c>
      <c r="E362" s="8" t="s">
        <v>547</v>
      </c>
    </row>
    <row r="363" spans="1:5" x14ac:dyDescent="0.3">
      <c r="A363" t="s">
        <v>371</v>
      </c>
      <c r="D363" s="8" t="s">
        <v>1010</v>
      </c>
      <c r="E363" s="8" t="s">
        <v>552</v>
      </c>
    </row>
    <row r="364" spans="1:5" x14ac:dyDescent="0.3">
      <c r="A364" t="s">
        <v>372</v>
      </c>
      <c r="D364" s="8" t="s">
        <v>1010</v>
      </c>
      <c r="E364" s="8" t="s">
        <v>546</v>
      </c>
    </row>
    <row r="365" spans="1:5" x14ac:dyDescent="0.3">
      <c r="A365" t="s">
        <v>373</v>
      </c>
      <c r="D365" s="8" t="s">
        <v>1010</v>
      </c>
      <c r="E365" s="8" t="s">
        <v>546</v>
      </c>
    </row>
    <row r="366" spans="1:5" x14ac:dyDescent="0.3">
      <c r="A366" t="s">
        <v>374</v>
      </c>
      <c r="D366" s="8" t="s">
        <v>1010</v>
      </c>
      <c r="E366" s="8" t="s">
        <v>552</v>
      </c>
    </row>
    <row r="367" spans="1:5" x14ac:dyDescent="0.3">
      <c r="A367" t="s">
        <v>375</v>
      </c>
      <c r="D367" s="8" t="s">
        <v>1010</v>
      </c>
      <c r="E367" s="8" t="s">
        <v>552</v>
      </c>
    </row>
    <row r="368" spans="1:5" x14ac:dyDescent="0.3">
      <c r="A368" t="s">
        <v>376</v>
      </c>
      <c r="D368" s="8" t="s">
        <v>1054</v>
      </c>
      <c r="E368" s="8" t="s">
        <v>546</v>
      </c>
    </row>
    <row r="369" spans="1:5" x14ac:dyDescent="0.3">
      <c r="A369" t="s">
        <v>377</v>
      </c>
      <c r="D369" s="8" t="s">
        <v>1054</v>
      </c>
      <c r="E369" s="8" t="s">
        <v>546</v>
      </c>
    </row>
    <row r="370" spans="1:5" x14ac:dyDescent="0.3">
      <c r="A370" t="s">
        <v>378</v>
      </c>
      <c r="D370" s="8" t="s">
        <v>1054</v>
      </c>
      <c r="E370" s="8" t="s">
        <v>552</v>
      </c>
    </row>
    <row r="371" spans="1:5" x14ac:dyDescent="0.3">
      <c r="A371" t="s">
        <v>379</v>
      </c>
      <c r="D371" s="8" t="s">
        <v>1054</v>
      </c>
      <c r="E371" s="8" t="s">
        <v>552</v>
      </c>
    </row>
    <row r="372" spans="1:5" x14ac:dyDescent="0.3">
      <c r="A372" t="s">
        <v>380</v>
      </c>
      <c r="D372" s="8" t="s">
        <v>1054</v>
      </c>
      <c r="E372" s="8" t="s">
        <v>552</v>
      </c>
    </row>
    <row r="373" spans="1:5" x14ac:dyDescent="0.3">
      <c r="A373" t="s">
        <v>381</v>
      </c>
      <c r="D373" s="8" t="s">
        <v>160</v>
      </c>
      <c r="E373" s="8" t="s">
        <v>547</v>
      </c>
    </row>
    <row r="374" spans="1:5" x14ac:dyDescent="0.3">
      <c r="A374" t="s">
        <v>382</v>
      </c>
      <c r="D374" s="8" t="s">
        <v>160</v>
      </c>
      <c r="E374" s="8" t="s">
        <v>547</v>
      </c>
    </row>
    <row r="375" spans="1:5" x14ac:dyDescent="0.3">
      <c r="A375" t="s">
        <v>383</v>
      </c>
      <c r="D375" s="8" t="s">
        <v>160</v>
      </c>
      <c r="E375" s="8" t="s">
        <v>547</v>
      </c>
    </row>
    <row r="376" spans="1:5" x14ac:dyDescent="0.3">
      <c r="A376" t="s">
        <v>384</v>
      </c>
      <c r="D376" s="8" t="s">
        <v>160</v>
      </c>
      <c r="E376" s="8" t="s">
        <v>545</v>
      </c>
    </row>
    <row r="377" spans="1:5" x14ac:dyDescent="0.3">
      <c r="A377" t="s">
        <v>385</v>
      </c>
      <c r="D377" s="8" t="s">
        <v>160</v>
      </c>
      <c r="E377" s="8" t="s">
        <v>545</v>
      </c>
    </row>
    <row r="378" spans="1:5" x14ac:dyDescent="0.3">
      <c r="A378" t="s">
        <v>386</v>
      </c>
      <c r="D378" s="8" t="s">
        <v>160</v>
      </c>
      <c r="E378" s="8" t="s">
        <v>545</v>
      </c>
    </row>
    <row r="379" spans="1:5" x14ac:dyDescent="0.3">
      <c r="A379" t="s">
        <v>387</v>
      </c>
      <c r="D379" s="8" t="s">
        <v>160</v>
      </c>
      <c r="E379" s="8" t="s">
        <v>547</v>
      </c>
    </row>
    <row r="380" spans="1:5" x14ac:dyDescent="0.3">
      <c r="A380" t="s">
        <v>388</v>
      </c>
      <c r="D380" s="8" t="s">
        <v>160</v>
      </c>
      <c r="E380" s="8" t="s">
        <v>547</v>
      </c>
    </row>
    <row r="381" spans="1:5" x14ac:dyDescent="0.3">
      <c r="A381" t="s">
        <v>389</v>
      </c>
      <c r="D381" s="8" t="s">
        <v>160</v>
      </c>
      <c r="E381" s="8" t="s">
        <v>547</v>
      </c>
    </row>
    <row r="382" spans="1:5" x14ac:dyDescent="0.3">
      <c r="A382" t="s">
        <v>390</v>
      </c>
      <c r="D382" s="8" t="s">
        <v>160</v>
      </c>
      <c r="E382" s="8" t="s">
        <v>545</v>
      </c>
    </row>
    <row r="383" spans="1:5" x14ac:dyDescent="0.3">
      <c r="A383" t="s">
        <v>391</v>
      </c>
      <c r="D383" s="8" t="s">
        <v>160</v>
      </c>
      <c r="E383" s="8" t="s">
        <v>545</v>
      </c>
    </row>
    <row r="384" spans="1:5" x14ac:dyDescent="0.3">
      <c r="A384" t="s">
        <v>392</v>
      </c>
      <c r="D384" s="8" t="s">
        <v>160</v>
      </c>
      <c r="E384" s="8" t="s">
        <v>545</v>
      </c>
    </row>
    <row r="385" spans="1:5" x14ac:dyDescent="0.3">
      <c r="A385" t="s">
        <v>393</v>
      </c>
      <c r="D385" s="8" t="s">
        <v>160</v>
      </c>
      <c r="E385" s="8" t="s">
        <v>545</v>
      </c>
    </row>
    <row r="386" spans="1:5" x14ac:dyDescent="0.3">
      <c r="A386" t="s">
        <v>394</v>
      </c>
      <c r="D386" s="8" t="s">
        <v>160</v>
      </c>
      <c r="E386" s="8" t="s">
        <v>545</v>
      </c>
    </row>
    <row r="387" spans="1:5" x14ac:dyDescent="0.3">
      <c r="A387" t="s">
        <v>395</v>
      </c>
      <c r="D387" s="8" t="s">
        <v>160</v>
      </c>
      <c r="E387" s="8" t="s">
        <v>545</v>
      </c>
    </row>
    <row r="388" spans="1:5" x14ac:dyDescent="0.3">
      <c r="A388" t="s">
        <v>396</v>
      </c>
      <c r="D388" s="8" t="s">
        <v>161</v>
      </c>
      <c r="E388" s="8" t="s">
        <v>547</v>
      </c>
    </row>
    <row r="389" spans="1:5" x14ac:dyDescent="0.3">
      <c r="A389" t="s">
        <v>397</v>
      </c>
      <c r="D389" s="8" t="s">
        <v>161</v>
      </c>
      <c r="E389" s="8" t="s">
        <v>545</v>
      </c>
    </row>
    <row r="390" spans="1:5" x14ac:dyDescent="0.3">
      <c r="A390" t="s">
        <v>398</v>
      </c>
      <c r="D390" s="8" t="s">
        <v>161</v>
      </c>
      <c r="E390" s="8" t="s">
        <v>545</v>
      </c>
    </row>
    <row r="391" spans="1:5" x14ac:dyDescent="0.3">
      <c r="A391" t="s">
        <v>399</v>
      </c>
      <c r="D391" s="8" t="s">
        <v>161</v>
      </c>
      <c r="E391" s="8" t="s">
        <v>545</v>
      </c>
    </row>
    <row r="392" spans="1:5" x14ac:dyDescent="0.3">
      <c r="A392" t="s">
        <v>400</v>
      </c>
      <c r="D392" s="8" t="s">
        <v>163</v>
      </c>
      <c r="E392" s="8" t="s">
        <v>545</v>
      </c>
    </row>
    <row r="393" spans="1:5" x14ac:dyDescent="0.3">
      <c r="A393" t="s">
        <v>401</v>
      </c>
      <c r="D393" s="8" t="s">
        <v>163</v>
      </c>
      <c r="E393" s="8" t="s">
        <v>545</v>
      </c>
    </row>
    <row r="394" spans="1:5" x14ac:dyDescent="0.3">
      <c r="A394" t="s">
        <v>402</v>
      </c>
      <c r="D394" s="8" t="s">
        <v>163</v>
      </c>
      <c r="E394" s="8" t="s">
        <v>547</v>
      </c>
    </row>
    <row r="395" spans="1:5" x14ac:dyDescent="0.3">
      <c r="A395" t="s">
        <v>403</v>
      </c>
      <c r="D395" s="8" t="s">
        <v>163</v>
      </c>
      <c r="E395" s="8" t="s">
        <v>545</v>
      </c>
    </row>
    <row r="396" spans="1:5" x14ac:dyDescent="0.3">
      <c r="A396" t="s">
        <v>404</v>
      </c>
      <c r="D396" s="8" t="s">
        <v>164</v>
      </c>
      <c r="E396" s="8" t="s">
        <v>546</v>
      </c>
    </row>
    <row r="397" spans="1:5" x14ac:dyDescent="0.3">
      <c r="A397" t="s">
        <v>405</v>
      </c>
      <c r="D397" s="8" t="s">
        <v>164</v>
      </c>
      <c r="E397" s="8" t="s">
        <v>546</v>
      </c>
    </row>
    <row r="398" spans="1:5" x14ac:dyDescent="0.3">
      <c r="A398" t="s">
        <v>406</v>
      </c>
      <c r="D398" s="8" t="s">
        <v>165</v>
      </c>
      <c r="E398" s="8" t="s">
        <v>546</v>
      </c>
    </row>
    <row r="399" spans="1:5" x14ac:dyDescent="0.3">
      <c r="A399" t="s">
        <v>407</v>
      </c>
      <c r="D399" s="8" t="s">
        <v>165</v>
      </c>
      <c r="E399" s="8" t="s">
        <v>546</v>
      </c>
    </row>
    <row r="400" spans="1:5" x14ac:dyDescent="0.3">
      <c r="A400" t="s">
        <v>408</v>
      </c>
      <c r="D400" s="8" t="s">
        <v>165</v>
      </c>
      <c r="E400" s="8" t="s">
        <v>546</v>
      </c>
    </row>
    <row r="401" spans="1:5" x14ac:dyDescent="0.3">
      <c r="A401" t="s">
        <v>409</v>
      </c>
      <c r="D401" s="8" t="s">
        <v>166</v>
      </c>
      <c r="E401" s="8" t="s">
        <v>546</v>
      </c>
    </row>
    <row r="402" spans="1:5" x14ac:dyDescent="0.3">
      <c r="A402" t="s">
        <v>410</v>
      </c>
      <c r="D402" s="8" t="s">
        <v>168</v>
      </c>
      <c r="E402" s="8" t="s">
        <v>546</v>
      </c>
    </row>
    <row r="403" spans="1:5" x14ac:dyDescent="0.3">
      <c r="A403" t="s">
        <v>411</v>
      </c>
      <c r="D403" s="8" t="s">
        <v>169</v>
      </c>
      <c r="E403" s="8" t="s">
        <v>547</v>
      </c>
    </row>
    <row r="404" spans="1:5" x14ac:dyDescent="0.3">
      <c r="A404" t="s">
        <v>412</v>
      </c>
      <c r="D404" s="8" t="s">
        <v>169</v>
      </c>
      <c r="E404" s="8" t="s">
        <v>546</v>
      </c>
    </row>
    <row r="405" spans="1:5" x14ac:dyDescent="0.3">
      <c r="A405" t="s">
        <v>413</v>
      </c>
      <c r="D405" s="8" t="s">
        <v>171</v>
      </c>
      <c r="E405" s="8" t="s">
        <v>546</v>
      </c>
    </row>
    <row r="406" spans="1:5" x14ac:dyDescent="0.3">
      <c r="A406" t="s">
        <v>414</v>
      </c>
      <c r="D406" s="8" t="s">
        <v>171</v>
      </c>
      <c r="E406" s="8" t="s">
        <v>546</v>
      </c>
    </row>
    <row r="407" spans="1:5" x14ac:dyDescent="0.3">
      <c r="A407" t="s">
        <v>1271</v>
      </c>
      <c r="D407" s="8" t="s">
        <v>171</v>
      </c>
      <c r="E407" s="8" t="s">
        <v>546</v>
      </c>
    </row>
    <row r="408" spans="1:5" x14ac:dyDescent="0.3">
      <c r="A408" t="s">
        <v>415</v>
      </c>
      <c r="D408" s="8" t="s">
        <v>172</v>
      </c>
      <c r="E408" s="8" t="s">
        <v>546</v>
      </c>
    </row>
    <row r="409" spans="1:5" x14ac:dyDescent="0.3">
      <c r="A409" t="s">
        <v>416</v>
      </c>
      <c r="D409" s="8" t="s">
        <v>172</v>
      </c>
      <c r="E409" s="8" t="s">
        <v>547</v>
      </c>
    </row>
    <row r="410" spans="1:5" x14ac:dyDescent="0.3">
      <c r="A410" t="s">
        <v>417</v>
      </c>
      <c r="D410" s="8" t="s">
        <v>172</v>
      </c>
      <c r="E410" s="8" t="s">
        <v>546</v>
      </c>
    </row>
    <row r="411" spans="1:5" x14ac:dyDescent="0.3">
      <c r="A411" t="s">
        <v>418</v>
      </c>
      <c r="D411" s="8" t="s">
        <v>172</v>
      </c>
      <c r="E411" s="8" t="s">
        <v>546</v>
      </c>
    </row>
    <row r="412" spans="1:5" x14ac:dyDescent="0.3">
      <c r="A412" t="s">
        <v>419</v>
      </c>
      <c r="D412" s="8" t="s">
        <v>172</v>
      </c>
      <c r="E412" s="8" t="s">
        <v>546</v>
      </c>
    </row>
    <row r="413" spans="1:5" x14ac:dyDescent="0.3">
      <c r="A413" t="s">
        <v>420</v>
      </c>
      <c r="D413" s="8" t="s">
        <v>173</v>
      </c>
      <c r="E413" s="8" t="s">
        <v>547</v>
      </c>
    </row>
    <row r="414" spans="1:5" x14ac:dyDescent="0.3">
      <c r="A414" t="s">
        <v>421</v>
      </c>
      <c r="D414" s="8" t="s">
        <v>173</v>
      </c>
      <c r="E414" s="8" t="s">
        <v>546</v>
      </c>
    </row>
    <row r="415" spans="1:5" x14ac:dyDescent="0.3">
      <c r="A415" t="s">
        <v>422</v>
      </c>
      <c r="D415" s="8" t="s">
        <v>174</v>
      </c>
      <c r="E415" s="8" t="s">
        <v>546</v>
      </c>
    </row>
    <row r="416" spans="1:5" x14ac:dyDescent="0.3">
      <c r="A416" t="s">
        <v>423</v>
      </c>
      <c r="D416" s="8" t="s">
        <v>174</v>
      </c>
      <c r="E416" s="8" t="s">
        <v>546</v>
      </c>
    </row>
    <row r="417" spans="1:5" x14ac:dyDescent="0.3">
      <c r="A417" t="s">
        <v>424</v>
      </c>
      <c r="D417" s="8" t="s">
        <v>175</v>
      </c>
      <c r="E417" s="8" t="s">
        <v>545</v>
      </c>
    </row>
    <row r="418" spans="1:5" x14ac:dyDescent="0.3">
      <c r="A418" t="s">
        <v>425</v>
      </c>
      <c r="D418" s="8" t="s">
        <v>175</v>
      </c>
      <c r="E418" s="8" t="s">
        <v>545</v>
      </c>
    </row>
    <row r="419" spans="1:5" x14ac:dyDescent="0.3">
      <c r="A419" t="s">
        <v>426</v>
      </c>
      <c r="D419" s="8" t="s">
        <v>175</v>
      </c>
      <c r="E419" s="8" t="s">
        <v>545</v>
      </c>
    </row>
    <row r="420" spans="1:5" x14ac:dyDescent="0.3">
      <c r="A420" t="s">
        <v>427</v>
      </c>
      <c r="D420" s="8" t="s">
        <v>175</v>
      </c>
      <c r="E420" s="8" t="s">
        <v>547</v>
      </c>
    </row>
    <row r="421" spans="1:5" x14ac:dyDescent="0.3">
      <c r="A421" t="s">
        <v>428</v>
      </c>
      <c r="D421" s="8" t="s">
        <v>176</v>
      </c>
      <c r="E421" s="8" t="s">
        <v>545</v>
      </c>
    </row>
    <row r="422" spans="1:5" x14ac:dyDescent="0.3">
      <c r="A422" t="s">
        <v>429</v>
      </c>
      <c r="D422" s="8" t="s">
        <v>176</v>
      </c>
      <c r="E422" s="8" t="s">
        <v>545</v>
      </c>
    </row>
    <row r="423" spans="1:5" x14ac:dyDescent="0.3">
      <c r="A423" t="s">
        <v>430</v>
      </c>
      <c r="D423" s="8" t="s">
        <v>176</v>
      </c>
      <c r="E423" s="8" t="s">
        <v>547</v>
      </c>
    </row>
    <row r="424" spans="1:5" x14ac:dyDescent="0.3">
      <c r="A424" t="s">
        <v>431</v>
      </c>
      <c r="D424" s="8" t="s">
        <v>176</v>
      </c>
      <c r="E424" s="8" t="s">
        <v>545</v>
      </c>
    </row>
    <row r="425" spans="1:5" x14ac:dyDescent="0.3">
      <c r="A425" t="s">
        <v>432</v>
      </c>
      <c r="D425" s="8" t="s">
        <v>176</v>
      </c>
      <c r="E425" s="8" t="s">
        <v>545</v>
      </c>
    </row>
    <row r="426" spans="1:5" x14ac:dyDescent="0.3">
      <c r="A426" t="s">
        <v>433</v>
      </c>
      <c r="D426" s="8" t="s">
        <v>177</v>
      </c>
      <c r="E426" s="8" t="s">
        <v>547</v>
      </c>
    </row>
    <row r="427" spans="1:5" x14ac:dyDescent="0.3">
      <c r="A427" t="s">
        <v>434</v>
      </c>
      <c r="D427" s="8" t="s">
        <v>177</v>
      </c>
      <c r="E427" s="8" t="s">
        <v>545</v>
      </c>
    </row>
    <row r="428" spans="1:5" x14ac:dyDescent="0.3">
      <c r="A428" t="s">
        <v>435</v>
      </c>
      <c r="D428" s="8" t="s">
        <v>177</v>
      </c>
      <c r="E428" s="8" t="s">
        <v>545</v>
      </c>
    </row>
    <row r="429" spans="1:5" x14ac:dyDescent="0.3">
      <c r="A429" t="s">
        <v>436</v>
      </c>
      <c r="D429" s="8" t="s">
        <v>177</v>
      </c>
      <c r="E429" s="8" t="s">
        <v>545</v>
      </c>
    </row>
    <row r="430" spans="1:5" x14ac:dyDescent="0.3">
      <c r="A430" t="s">
        <v>437</v>
      </c>
      <c r="D430" s="8" t="s">
        <v>177</v>
      </c>
      <c r="E430" s="8" t="s">
        <v>545</v>
      </c>
    </row>
    <row r="431" spans="1:5" x14ac:dyDescent="0.3">
      <c r="A431" t="s">
        <v>438</v>
      </c>
      <c r="D431" s="8" t="s">
        <v>177</v>
      </c>
      <c r="E431" s="8" t="s">
        <v>545</v>
      </c>
    </row>
    <row r="432" spans="1:5" x14ac:dyDescent="0.3">
      <c r="A432" t="s">
        <v>439</v>
      </c>
      <c r="D432" s="8" t="s">
        <v>178</v>
      </c>
      <c r="E432" s="8" t="s">
        <v>545</v>
      </c>
    </row>
    <row r="433" spans="1:5" x14ac:dyDescent="0.3">
      <c r="A433" t="s">
        <v>440</v>
      </c>
      <c r="D433" s="8" t="s">
        <v>178</v>
      </c>
      <c r="E433" s="8" t="s">
        <v>547</v>
      </c>
    </row>
    <row r="434" spans="1:5" x14ac:dyDescent="0.3">
      <c r="A434" t="s">
        <v>441</v>
      </c>
      <c r="D434" s="8" t="s">
        <v>178</v>
      </c>
      <c r="E434" s="8" t="s">
        <v>545</v>
      </c>
    </row>
    <row r="435" spans="1:5" x14ac:dyDescent="0.3">
      <c r="A435" t="s">
        <v>442</v>
      </c>
      <c r="D435" s="8" t="s">
        <v>179</v>
      </c>
      <c r="E435" s="8" t="s">
        <v>545</v>
      </c>
    </row>
    <row r="436" spans="1:5" x14ac:dyDescent="0.3">
      <c r="A436" t="s">
        <v>443</v>
      </c>
      <c r="D436" s="8" t="s">
        <v>179</v>
      </c>
      <c r="E436" s="8" t="s">
        <v>545</v>
      </c>
    </row>
    <row r="437" spans="1:5" x14ac:dyDescent="0.3">
      <c r="A437" t="s">
        <v>444</v>
      </c>
      <c r="D437" s="8" t="s">
        <v>179</v>
      </c>
      <c r="E437" s="8" t="s">
        <v>545</v>
      </c>
    </row>
    <row r="438" spans="1:5" x14ac:dyDescent="0.3">
      <c r="A438" t="s">
        <v>445</v>
      </c>
      <c r="D438" s="8" t="s">
        <v>179</v>
      </c>
      <c r="E438" s="8" t="s">
        <v>545</v>
      </c>
    </row>
    <row r="439" spans="1:5" x14ac:dyDescent="0.3">
      <c r="A439" t="s">
        <v>446</v>
      </c>
      <c r="D439" s="8" t="s">
        <v>179</v>
      </c>
      <c r="E439" s="8" t="s">
        <v>545</v>
      </c>
    </row>
    <row r="440" spans="1:5" x14ac:dyDescent="0.3">
      <c r="A440" t="s">
        <v>447</v>
      </c>
      <c r="D440" s="8" t="s">
        <v>179</v>
      </c>
      <c r="E440" s="8" t="s">
        <v>545</v>
      </c>
    </row>
    <row r="441" spans="1:5" x14ac:dyDescent="0.3">
      <c r="A441" t="s">
        <v>448</v>
      </c>
      <c r="D441" s="8" t="s">
        <v>179</v>
      </c>
      <c r="E441" s="8" t="s">
        <v>545</v>
      </c>
    </row>
    <row r="442" spans="1:5" x14ac:dyDescent="0.3">
      <c r="A442" t="s">
        <v>449</v>
      </c>
      <c r="D442" s="8" t="s">
        <v>179</v>
      </c>
      <c r="E442" s="8" t="s">
        <v>545</v>
      </c>
    </row>
    <row r="443" spans="1:5" x14ac:dyDescent="0.3">
      <c r="A443" t="s">
        <v>450</v>
      </c>
      <c r="D443" s="8" t="s">
        <v>179</v>
      </c>
      <c r="E443" s="8" t="s">
        <v>545</v>
      </c>
    </row>
    <row r="444" spans="1:5" x14ac:dyDescent="0.3">
      <c r="A444" t="s">
        <v>451</v>
      </c>
      <c r="D444" s="8" t="s">
        <v>179</v>
      </c>
      <c r="E444" s="8" t="s">
        <v>545</v>
      </c>
    </row>
    <row r="445" spans="1:5" x14ac:dyDescent="0.3">
      <c r="A445" t="s">
        <v>452</v>
      </c>
      <c r="D445" s="8" t="s">
        <v>179</v>
      </c>
      <c r="E445" s="8" t="s">
        <v>545</v>
      </c>
    </row>
    <row r="446" spans="1:5" x14ac:dyDescent="0.3">
      <c r="A446" t="s">
        <v>453</v>
      </c>
      <c r="D446" s="8" t="s">
        <v>179</v>
      </c>
      <c r="E446" s="8" t="s">
        <v>545</v>
      </c>
    </row>
    <row r="447" spans="1:5" x14ac:dyDescent="0.3">
      <c r="A447" t="s">
        <v>454</v>
      </c>
      <c r="D447" s="8" t="s">
        <v>179</v>
      </c>
      <c r="E447" s="8" t="s">
        <v>547</v>
      </c>
    </row>
    <row r="448" spans="1:5" x14ac:dyDescent="0.3">
      <c r="A448" t="s">
        <v>455</v>
      </c>
      <c r="D448" s="8" t="s">
        <v>179</v>
      </c>
      <c r="E448" s="8" t="s">
        <v>547</v>
      </c>
    </row>
    <row r="449" spans="1:5" x14ac:dyDescent="0.3">
      <c r="A449" t="s">
        <v>456</v>
      </c>
      <c r="D449" s="8" t="s">
        <v>179</v>
      </c>
      <c r="E449" s="8" t="s">
        <v>545</v>
      </c>
    </row>
    <row r="450" spans="1:5" x14ac:dyDescent="0.3">
      <c r="A450" t="s">
        <v>457</v>
      </c>
      <c r="D450" s="8" t="s">
        <v>179</v>
      </c>
      <c r="E450" s="8" t="s">
        <v>545</v>
      </c>
    </row>
    <row r="451" spans="1:5" x14ac:dyDescent="0.3">
      <c r="A451" t="s">
        <v>458</v>
      </c>
      <c r="D451" s="8" t="s">
        <v>179</v>
      </c>
      <c r="E451" s="8" t="s">
        <v>545</v>
      </c>
    </row>
    <row r="452" spans="1:5" x14ac:dyDescent="0.3">
      <c r="A452" t="s">
        <v>459</v>
      </c>
      <c r="D452" s="8" t="s">
        <v>179</v>
      </c>
      <c r="E452" s="8" t="s">
        <v>545</v>
      </c>
    </row>
    <row r="453" spans="1:5" x14ac:dyDescent="0.3">
      <c r="A453" t="s">
        <v>460</v>
      </c>
      <c r="D453" s="8" t="s">
        <v>180</v>
      </c>
      <c r="E453" s="8" t="s">
        <v>545</v>
      </c>
    </row>
    <row r="454" spans="1:5" x14ac:dyDescent="0.3">
      <c r="A454" t="s">
        <v>461</v>
      </c>
      <c r="D454" s="8" t="s">
        <v>182</v>
      </c>
      <c r="E454" s="8" t="s">
        <v>545</v>
      </c>
    </row>
    <row r="455" spans="1:5" x14ac:dyDescent="0.3">
      <c r="A455" t="s">
        <v>1272</v>
      </c>
      <c r="D455" s="8" t="s">
        <v>182</v>
      </c>
      <c r="E455" s="8" t="s">
        <v>545</v>
      </c>
    </row>
    <row r="456" spans="1:5" x14ac:dyDescent="0.3">
      <c r="A456" t="s">
        <v>462</v>
      </c>
      <c r="D456" s="8" t="s">
        <v>182</v>
      </c>
      <c r="E456" s="8" t="s">
        <v>547</v>
      </c>
    </row>
    <row r="457" spans="1:5" x14ac:dyDescent="0.3">
      <c r="A457" t="s">
        <v>463</v>
      </c>
      <c r="D457" s="8" t="s">
        <v>182</v>
      </c>
      <c r="E457" s="8" t="s">
        <v>545</v>
      </c>
    </row>
    <row r="458" spans="1:5" x14ac:dyDescent="0.3">
      <c r="A458" t="s">
        <v>464</v>
      </c>
      <c r="D458" s="8" t="s">
        <v>182</v>
      </c>
      <c r="E458" s="8" t="s">
        <v>545</v>
      </c>
    </row>
    <row r="459" spans="1:5" x14ac:dyDescent="0.3">
      <c r="A459" t="s">
        <v>465</v>
      </c>
      <c r="D459" s="8" t="s">
        <v>182</v>
      </c>
      <c r="E459" s="8" t="s">
        <v>545</v>
      </c>
    </row>
    <row r="460" spans="1:5" x14ac:dyDescent="0.3">
      <c r="A460" t="s">
        <v>466</v>
      </c>
      <c r="D460" s="8" t="s">
        <v>182</v>
      </c>
      <c r="E460" s="8" t="s">
        <v>547</v>
      </c>
    </row>
    <row r="461" spans="1:5" x14ac:dyDescent="0.3">
      <c r="A461" t="s">
        <v>467</v>
      </c>
      <c r="D461" s="8" t="s">
        <v>182</v>
      </c>
      <c r="E461" s="8" t="s">
        <v>545</v>
      </c>
    </row>
    <row r="462" spans="1:5" x14ac:dyDescent="0.3">
      <c r="A462" t="s">
        <v>566</v>
      </c>
      <c r="D462" s="8" t="s">
        <v>182</v>
      </c>
      <c r="E462" s="8" t="s">
        <v>545</v>
      </c>
    </row>
    <row r="463" spans="1:5" x14ac:dyDescent="0.3">
      <c r="A463" t="s">
        <v>468</v>
      </c>
      <c r="D463" s="8" t="s">
        <v>186</v>
      </c>
      <c r="E463" s="8" t="s">
        <v>545</v>
      </c>
    </row>
    <row r="464" spans="1:5" x14ac:dyDescent="0.3">
      <c r="A464" t="s">
        <v>469</v>
      </c>
      <c r="D464" s="8" t="s">
        <v>186</v>
      </c>
      <c r="E464" s="8" t="s">
        <v>545</v>
      </c>
    </row>
    <row r="465" spans="1:5" x14ac:dyDescent="0.3">
      <c r="A465" t="s">
        <v>470</v>
      </c>
      <c r="D465" s="8" t="s">
        <v>186</v>
      </c>
      <c r="E465" s="8" t="s">
        <v>545</v>
      </c>
    </row>
    <row r="466" spans="1:5" x14ac:dyDescent="0.3">
      <c r="A466" t="s">
        <v>471</v>
      </c>
      <c r="D466" s="8" t="s">
        <v>187</v>
      </c>
      <c r="E466" s="8" t="s">
        <v>545</v>
      </c>
    </row>
    <row r="467" spans="1:5" x14ac:dyDescent="0.3">
      <c r="A467" t="s">
        <v>472</v>
      </c>
      <c r="D467" s="8" t="s">
        <v>189</v>
      </c>
      <c r="E467" s="8" t="s">
        <v>546</v>
      </c>
    </row>
    <row r="468" spans="1:5" x14ac:dyDescent="0.3">
      <c r="A468" t="s">
        <v>473</v>
      </c>
      <c r="D468" s="8" t="s">
        <v>190</v>
      </c>
      <c r="E468" s="8" t="s">
        <v>545</v>
      </c>
    </row>
    <row r="469" spans="1:5" x14ac:dyDescent="0.3">
      <c r="A469" t="s">
        <v>474</v>
      </c>
      <c r="D469" s="8" t="s">
        <v>191</v>
      </c>
      <c r="E469" s="8" t="s">
        <v>545</v>
      </c>
    </row>
    <row r="470" spans="1:5" x14ac:dyDescent="0.3">
      <c r="A470" t="s">
        <v>475</v>
      </c>
      <c r="D470" s="8" t="s">
        <v>191</v>
      </c>
      <c r="E470" s="8" t="s">
        <v>545</v>
      </c>
    </row>
    <row r="471" spans="1:5" x14ac:dyDescent="0.3">
      <c r="A471" t="s">
        <v>476</v>
      </c>
      <c r="D471" s="8" t="s">
        <v>192</v>
      </c>
      <c r="E471" s="8" t="s">
        <v>545</v>
      </c>
    </row>
    <row r="472" spans="1:5" x14ac:dyDescent="0.3">
      <c r="A472" t="s">
        <v>477</v>
      </c>
      <c r="D472" s="8" t="s">
        <v>192</v>
      </c>
      <c r="E472" s="8" t="s">
        <v>545</v>
      </c>
    </row>
    <row r="473" spans="1:5" x14ac:dyDescent="0.3">
      <c r="A473" t="s">
        <v>478</v>
      </c>
      <c r="D473" s="8" t="s">
        <v>193</v>
      </c>
      <c r="E473" s="8" t="s">
        <v>545</v>
      </c>
    </row>
    <row r="474" spans="1:5" x14ac:dyDescent="0.3">
      <c r="A474" t="s">
        <v>479</v>
      </c>
      <c r="D474" s="8" t="s">
        <v>193</v>
      </c>
      <c r="E474" s="8" t="s">
        <v>547</v>
      </c>
    </row>
    <row r="475" spans="1:5" x14ac:dyDescent="0.3">
      <c r="A475" t="s">
        <v>480</v>
      </c>
      <c r="D475" s="8" t="s">
        <v>193</v>
      </c>
      <c r="E475" s="8" t="s">
        <v>547</v>
      </c>
    </row>
    <row r="476" spans="1:5" x14ac:dyDescent="0.3">
      <c r="A476" t="s">
        <v>481</v>
      </c>
      <c r="D476" s="8" t="s">
        <v>193</v>
      </c>
      <c r="E476" s="8" t="s">
        <v>547</v>
      </c>
    </row>
    <row r="477" spans="1:5" x14ac:dyDescent="0.3">
      <c r="A477" t="s">
        <v>482</v>
      </c>
      <c r="D477" s="8" t="s">
        <v>193</v>
      </c>
      <c r="E477" s="8" t="s">
        <v>545</v>
      </c>
    </row>
    <row r="478" spans="1:5" x14ac:dyDescent="0.3">
      <c r="A478" t="s">
        <v>483</v>
      </c>
      <c r="D478" s="8" t="s">
        <v>193</v>
      </c>
      <c r="E478" s="8" t="s">
        <v>545</v>
      </c>
    </row>
    <row r="479" spans="1:5" x14ac:dyDescent="0.3">
      <c r="A479" t="s">
        <v>484</v>
      </c>
      <c r="D479" s="8" t="s">
        <v>193</v>
      </c>
      <c r="E479" s="8" t="s">
        <v>545</v>
      </c>
    </row>
    <row r="480" spans="1:5" x14ac:dyDescent="0.3">
      <c r="A480" t="s">
        <v>485</v>
      </c>
      <c r="D480" s="8" t="s">
        <v>193</v>
      </c>
      <c r="E480" s="8" t="s">
        <v>545</v>
      </c>
    </row>
    <row r="481" spans="1:5" x14ac:dyDescent="0.3">
      <c r="A481" t="s">
        <v>486</v>
      </c>
      <c r="D481" s="8" t="s">
        <v>193</v>
      </c>
      <c r="E481" s="8" t="s">
        <v>545</v>
      </c>
    </row>
    <row r="482" spans="1:5" x14ac:dyDescent="0.3">
      <c r="A482" t="s">
        <v>487</v>
      </c>
      <c r="D482" s="8" t="s">
        <v>193</v>
      </c>
      <c r="E482" s="8" t="s">
        <v>545</v>
      </c>
    </row>
    <row r="483" spans="1:5" x14ac:dyDescent="0.3">
      <c r="A483" t="s">
        <v>488</v>
      </c>
      <c r="D483" s="8" t="s">
        <v>195</v>
      </c>
      <c r="E483" s="8" t="s">
        <v>547</v>
      </c>
    </row>
    <row r="484" spans="1:5" x14ac:dyDescent="0.3">
      <c r="A484" t="s">
        <v>489</v>
      </c>
      <c r="D484" s="8" t="s">
        <v>197</v>
      </c>
      <c r="E484" s="8" t="s">
        <v>546</v>
      </c>
    </row>
    <row r="485" spans="1:5" x14ac:dyDescent="0.3">
      <c r="A485" t="s">
        <v>490</v>
      </c>
      <c r="D485" s="8" t="s">
        <v>197</v>
      </c>
      <c r="E485" s="8" t="s">
        <v>546</v>
      </c>
    </row>
    <row r="486" spans="1:5" x14ac:dyDescent="0.3">
      <c r="A486" t="s">
        <v>491</v>
      </c>
      <c r="D486" s="8" t="s">
        <v>197</v>
      </c>
      <c r="E486" s="8" t="s">
        <v>546</v>
      </c>
    </row>
    <row r="487" spans="1:5" x14ac:dyDescent="0.3">
      <c r="A487" t="s">
        <v>492</v>
      </c>
      <c r="D487" s="8" t="s">
        <v>198</v>
      </c>
      <c r="E487" s="8" t="s">
        <v>545</v>
      </c>
    </row>
    <row r="488" spans="1:5" x14ac:dyDescent="0.3">
      <c r="A488" t="s">
        <v>493</v>
      </c>
      <c r="D488" s="8" t="s">
        <v>199</v>
      </c>
      <c r="E488" s="8" t="s">
        <v>546</v>
      </c>
    </row>
    <row r="489" spans="1:5" x14ac:dyDescent="0.3">
      <c r="A489" t="s">
        <v>494</v>
      </c>
      <c r="D489" s="8" t="s">
        <v>199</v>
      </c>
      <c r="E489" s="8" t="s">
        <v>546</v>
      </c>
    </row>
    <row r="490" spans="1:5" x14ac:dyDescent="0.3">
      <c r="A490" t="s">
        <v>495</v>
      </c>
      <c r="D490" s="8" t="s">
        <v>204</v>
      </c>
      <c r="E490" s="8" t="s">
        <v>545</v>
      </c>
    </row>
    <row r="491" spans="1:5" x14ac:dyDescent="0.3">
      <c r="A491" t="s">
        <v>496</v>
      </c>
      <c r="D491" s="8" t="s">
        <v>204</v>
      </c>
      <c r="E491" s="8" t="s">
        <v>545</v>
      </c>
    </row>
    <row r="492" spans="1:5" x14ac:dyDescent="0.3">
      <c r="A492" t="s">
        <v>497</v>
      </c>
      <c r="D492" s="8" t="s">
        <v>208</v>
      </c>
      <c r="E492" s="8" t="s">
        <v>545</v>
      </c>
    </row>
    <row r="493" spans="1:5" x14ac:dyDescent="0.3">
      <c r="A493" t="s">
        <v>498</v>
      </c>
      <c r="D493" s="8" t="s">
        <v>208</v>
      </c>
      <c r="E493" s="8" t="s">
        <v>545</v>
      </c>
    </row>
    <row r="494" spans="1:5" x14ac:dyDescent="0.3">
      <c r="A494" t="s">
        <v>499</v>
      </c>
      <c r="D494" s="8" t="s">
        <v>209</v>
      </c>
      <c r="E494" s="8" t="s">
        <v>545</v>
      </c>
    </row>
    <row r="495" spans="1:5" x14ac:dyDescent="0.3">
      <c r="A495" t="s">
        <v>500</v>
      </c>
      <c r="D495" s="8" t="s">
        <v>210</v>
      </c>
      <c r="E495" s="8" t="s">
        <v>545</v>
      </c>
    </row>
    <row r="496" spans="1:5" x14ac:dyDescent="0.3">
      <c r="A496" t="s">
        <v>501</v>
      </c>
      <c r="D496" s="8" t="s">
        <v>214</v>
      </c>
      <c r="E496" s="8" t="s">
        <v>547</v>
      </c>
    </row>
    <row r="497" spans="1:5" x14ac:dyDescent="0.3">
      <c r="A497" t="s">
        <v>502</v>
      </c>
      <c r="D497" s="8" t="s">
        <v>215</v>
      </c>
      <c r="E497" s="8" t="s">
        <v>545</v>
      </c>
    </row>
    <row r="498" spans="1:5" x14ac:dyDescent="0.3">
      <c r="A498" t="s">
        <v>503</v>
      </c>
      <c r="D498" s="8" t="s">
        <v>218</v>
      </c>
      <c r="E498" s="8" t="s">
        <v>545</v>
      </c>
    </row>
    <row r="499" spans="1:5" x14ac:dyDescent="0.3">
      <c r="A499" t="s">
        <v>504</v>
      </c>
      <c r="D499" s="8" t="s">
        <v>218</v>
      </c>
      <c r="E499" s="8" t="s">
        <v>545</v>
      </c>
    </row>
    <row r="500" spans="1:5" x14ac:dyDescent="0.3">
      <c r="A500" t="s">
        <v>505</v>
      </c>
      <c r="D500" s="8" t="s">
        <v>218</v>
      </c>
      <c r="E500" s="8" t="s">
        <v>545</v>
      </c>
    </row>
    <row r="501" spans="1:5" x14ac:dyDescent="0.3">
      <c r="A501" t="s">
        <v>506</v>
      </c>
      <c r="D501" s="8" t="s">
        <v>218</v>
      </c>
      <c r="E501" s="8" t="s">
        <v>545</v>
      </c>
    </row>
    <row r="502" spans="1:5" x14ac:dyDescent="0.3">
      <c r="A502" t="s">
        <v>507</v>
      </c>
      <c r="D502" s="8" t="s">
        <v>219</v>
      </c>
      <c r="E502" s="8" t="s">
        <v>545</v>
      </c>
    </row>
    <row r="503" spans="1:5" x14ac:dyDescent="0.3">
      <c r="A503" t="s">
        <v>508</v>
      </c>
      <c r="D503" s="8" t="s">
        <v>221</v>
      </c>
      <c r="E503" s="8" t="s">
        <v>549</v>
      </c>
    </row>
    <row r="504" spans="1:5" x14ac:dyDescent="0.3">
      <c r="A504" t="s">
        <v>509</v>
      </c>
      <c r="D504" s="8" t="s">
        <v>225</v>
      </c>
      <c r="E504" s="8" t="s">
        <v>545</v>
      </c>
    </row>
    <row r="505" spans="1:5" x14ac:dyDescent="0.3">
      <c r="A505" t="s">
        <v>510</v>
      </c>
      <c r="D505" s="8" t="s">
        <v>225</v>
      </c>
      <c r="E505" s="8" t="s">
        <v>545</v>
      </c>
    </row>
    <row r="506" spans="1:5" x14ac:dyDescent="0.3">
      <c r="A506" t="s">
        <v>511</v>
      </c>
      <c r="D506" s="8" t="s">
        <v>226</v>
      </c>
      <c r="E506" s="8" t="s">
        <v>545</v>
      </c>
    </row>
    <row r="507" spans="1:5" x14ac:dyDescent="0.3">
      <c r="A507" t="s">
        <v>512</v>
      </c>
      <c r="D507" s="8" t="s">
        <v>228</v>
      </c>
      <c r="E507" s="8" t="s">
        <v>545</v>
      </c>
    </row>
    <row r="508" spans="1:5" x14ac:dyDescent="0.3">
      <c r="A508" t="s">
        <v>513</v>
      </c>
      <c r="D508" s="8" t="s">
        <v>228</v>
      </c>
      <c r="E508" s="8" t="s">
        <v>545</v>
      </c>
    </row>
    <row r="509" spans="1:5" x14ac:dyDescent="0.3">
      <c r="A509" t="s">
        <v>514</v>
      </c>
      <c r="D509" s="8" t="s">
        <v>228</v>
      </c>
      <c r="E509" s="8" t="s">
        <v>545</v>
      </c>
    </row>
    <row r="510" spans="1:5" x14ac:dyDescent="0.3">
      <c r="A510" t="s">
        <v>515</v>
      </c>
      <c r="D510" s="8" t="s">
        <v>230</v>
      </c>
      <c r="E510" s="8" t="s">
        <v>547</v>
      </c>
    </row>
    <row r="511" spans="1:5" x14ac:dyDescent="0.3">
      <c r="A511" t="s">
        <v>516</v>
      </c>
      <c r="D511" s="8" t="s">
        <v>230</v>
      </c>
      <c r="E511" s="8" t="s">
        <v>545</v>
      </c>
    </row>
    <row r="512" spans="1:5" x14ac:dyDescent="0.3">
      <c r="A512" t="s">
        <v>517</v>
      </c>
      <c r="D512" s="8" t="s">
        <v>230</v>
      </c>
      <c r="E512" s="8" t="s">
        <v>545</v>
      </c>
    </row>
    <row r="513" spans="1:5" x14ac:dyDescent="0.3">
      <c r="A513" t="s">
        <v>518</v>
      </c>
      <c r="D513" s="8" t="s">
        <v>230</v>
      </c>
      <c r="E513" s="8" t="s">
        <v>545</v>
      </c>
    </row>
    <row r="514" spans="1:5" x14ac:dyDescent="0.3">
      <c r="A514" t="s">
        <v>519</v>
      </c>
      <c r="D514" s="8" t="s">
        <v>230</v>
      </c>
      <c r="E514" s="8" t="s">
        <v>547</v>
      </c>
    </row>
    <row r="515" spans="1:5" x14ac:dyDescent="0.3">
      <c r="A515" t="s">
        <v>520</v>
      </c>
      <c r="D515" s="8" t="s">
        <v>231</v>
      </c>
      <c r="E515" s="8" t="s">
        <v>546</v>
      </c>
    </row>
    <row r="516" spans="1:5" x14ac:dyDescent="0.3">
      <c r="A516" t="s">
        <v>521</v>
      </c>
      <c r="D516" s="8" t="s">
        <v>231</v>
      </c>
      <c r="E516" s="8" t="s">
        <v>546</v>
      </c>
    </row>
    <row r="517" spans="1:5" x14ac:dyDescent="0.3">
      <c r="A517" t="s">
        <v>522</v>
      </c>
      <c r="D517" s="8" t="s">
        <v>231</v>
      </c>
      <c r="E517" s="8" t="s">
        <v>546</v>
      </c>
    </row>
    <row r="518" spans="1:5" x14ac:dyDescent="0.3">
      <c r="A518" t="s">
        <v>523</v>
      </c>
      <c r="D518" s="8" t="s">
        <v>231</v>
      </c>
      <c r="E518" s="8" t="s">
        <v>545</v>
      </c>
    </row>
    <row r="519" spans="1:5" x14ac:dyDescent="0.3">
      <c r="A519" t="s">
        <v>524</v>
      </c>
      <c r="D519" s="8" t="s">
        <v>231</v>
      </c>
      <c r="E519" s="8" t="s">
        <v>546</v>
      </c>
    </row>
    <row r="520" spans="1:5" x14ac:dyDescent="0.3">
      <c r="A520" t="s">
        <v>525</v>
      </c>
      <c r="D520" s="8" t="s">
        <v>231</v>
      </c>
      <c r="E520" s="8" t="s">
        <v>546</v>
      </c>
    </row>
    <row r="521" spans="1:5" x14ac:dyDescent="0.3">
      <c r="A521" t="s">
        <v>526</v>
      </c>
      <c r="D521" s="8" t="s">
        <v>232</v>
      </c>
      <c r="E521" s="8" t="s">
        <v>546</v>
      </c>
    </row>
    <row r="522" spans="1:5" x14ac:dyDescent="0.3">
      <c r="A522" t="s">
        <v>527</v>
      </c>
      <c r="D522" s="8" t="s">
        <v>232</v>
      </c>
      <c r="E522" s="8" t="s">
        <v>545</v>
      </c>
    </row>
    <row r="523" spans="1:5" x14ac:dyDescent="0.3">
      <c r="A523" t="s">
        <v>528</v>
      </c>
      <c r="D523" s="8" t="s">
        <v>235</v>
      </c>
      <c r="E523" s="8" t="s">
        <v>549</v>
      </c>
    </row>
    <row r="524" spans="1:5" x14ac:dyDescent="0.3">
      <c r="A524" t="s">
        <v>529</v>
      </c>
      <c r="D524" s="8" t="s">
        <v>236</v>
      </c>
      <c r="E524" s="8" t="s">
        <v>545</v>
      </c>
    </row>
    <row r="525" spans="1:5" x14ac:dyDescent="0.3">
      <c r="A525" t="s">
        <v>530</v>
      </c>
      <c r="D525" s="8" t="s">
        <v>236</v>
      </c>
      <c r="E525" s="8" t="s">
        <v>545</v>
      </c>
    </row>
    <row r="526" spans="1:5" x14ac:dyDescent="0.3">
      <c r="A526" t="s">
        <v>531</v>
      </c>
      <c r="D526" s="8" t="s">
        <v>236</v>
      </c>
      <c r="E526" s="8" t="s">
        <v>545</v>
      </c>
    </row>
    <row r="527" spans="1:5" x14ac:dyDescent="0.3">
      <c r="A527" t="s">
        <v>532</v>
      </c>
      <c r="D527" s="8" t="s">
        <v>238</v>
      </c>
      <c r="E527" s="8" t="s">
        <v>545</v>
      </c>
    </row>
    <row r="528" spans="1:5" x14ac:dyDescent="0.3">
      <c r="A528" t="s">
        <v>533</v>
      </c>
      <c r="D528" s="8" t="s">
        <v>239</v>
      </c>
      <c r="E528" s="8" t="s">
        <v>545</v>
      </c>
    </row>
    <row r="529" spans="1:5" x14ac:dyDescent="0.3">
      <c r="A529" t="s">
        <v>534</v>
      </c>
      <c r="D529" s="8" t="s">
        <v>239</v>
      </c>
      <c r="E529" s="8" t="s">
        <v>545</v>
      </c>
    </row>
    <row r="530" spans="1:5" x14ac:dyDescent="0.3">
      <c r="A530" t="s">
        <v>1273</v>
      </c>
      <c r="D530" s="8" t="s">
        <v>239</v>
      </c>
      <c r="E530" s="8" t="s">
        <v>545</v>
      </c>
    </row>
    <row r="531" spans="1:5" x14ac:dyDescent="0.3">
      <c r="A531" t="s">
        <v>1274</v>
      </c>
      <c r="D531" s="8" t="s">
        <v>240</v>
      </c>
      <c r="E531" s="8" t="s">
        <v>545</v>
      </c>
    </row>
    <row r="532" spans="1:5" x14ac:dyDescent="0.3">
      <c r="A532" t="s">
        <v>1275</v>
      </c>
      <c r="D532" s="8" t="s">
        <v>244</v>
      </c>
      <c r="E532" s="8" t="s">
        <v>547</v>
      </c>
    </row>
    <row r="533" spans="1:5" x14ac:dyDescent="0.3">
      <c r="A533" t="s">
        <v>1276</v>
      </c>
      <c r="D533" s="8" t="s">
        <v>245</v>
      </c>
      <c r="E533" s="8" t="s">
        <v>545</v>
      </c>
    </row>
    <row r="534" spans="1:5" x14ac:dyDescent="0.3">
      <c r="A534" t="s">
        <v>1277</v>
      </c>
      <c r="D534" s="8" t="s">
        <v>247</v>
      </c>
      <c r="E534" s="8" t="s">
        <v>547</v>
      </c>
    </row>
    <row r="535" spans="1:5" x14ac:dyDescent="0.3">
      <c r="A535" t="s">
        <v>1278</v>
      </c>
      <c r="D535" s="8" t="s">
        <v>247</v>
      </c>
      <c r="E535" s="8" t="s">
        <v>547</v>
      </c>
    </row>
    <row r="536" spans="1:5" x14ac:dyDescent="0.3">
      <c r="A536" t="s">
        <v>1279</v>
      </c>
      <c r="D536" s="8" t="s">
        <v>247</v>
      </c>
      <c r="E536" s="8" t="s">
        <v>545</v>
      </c>
    </row>
    <row r="537" spans="1:5" x14ac:dyDescent="0.3">
      <c r="A537" t="s">
        <v>1280</v>
      </c>
      <c r="D537" s="8" t="s">
        <v>247</v>
      </c>
      <c r="E537" s="8" t="s">
        <v>545</v>
      </c>
    </row>
    <row r="538" spans="1:5" x14ac:dyDescent="0.3">
      <c r="A538" t="s">
        <v>1281</v>
      </c>
      <c r="D538" s="8" t="s">
        <v>247</v>
      </c>
      <c r="E538" s="8" t="s">
        <v>545</v>
      </c>
    </row>
    <row r="539" spans="1:5" x14ac:dyDescent="0.3">
      <c r="A539" t="s">
        <v>1282</v>
      </c>
      <c r="D539" s="8" t="s">
        <v>247</v>
      </c>
      <c r="E539" s="8" t="s">
        <v>545</v>
      </c>
    </row>
    <row r="540" spans="1:5" x14ac:dyDescent="0.3">
      <c r="A540" t="s">
        <v>1283</v>
      </c>
      <c r="D540" s="8" t="s">
        <v>247</v>
      </c>
      <c r="E540" s="8" t="s">
        <v>547</v>
      </c>
    </row>
    <row r="541" spans="1:5" x14ac:dyDescent="0.3">
      <c r="A541" t="s">
        <v>1284</v>
      </c>
      <c r="D541" s="8" t="s">
        <v>248</v>
      </c>
      <c r="E541" s="8" t="s">
        <v>545</v>
      </c>
    </row>
    <row r="542" spans="1:5" x14ac:dyDescent="0.3">
      <c r="A542" t="s">
        <v>1285</v>
      </c>
      <c r="D542" s="8" t="s">
        <v>537</v>
      </c>
      <c r="E542" s="8" t="s">
        <v>545</v>
      </c>
    </row>
    <row r="543" spans="1:5" x14ac:dyDescent="0.3">
      <c r="A543" t="s">
        <v>1286</v>
      </c>
      <c r="D543" s="8" t="s">
        <v>569</v>
      </c>
      <c r="E543" s="8" t="s">
        <v>546</v>
      </c>
    </row>
    <row r="544" spans="1:5" x14ac:dyDescent="0.3">
      <c r="A544" t="s">
        <v>1287</v>
      </c>
      <c r="D544" s="8" t="s">
        <v>571</v>
      </c>
      <c r="E544" s="8" t="s">
        <v>545</v>
      </c>
    </row>
    <row r="545" spans="1:5" x14ac:dyDescent="0.3">
      <c r="A545" t="s">
        <v>1288</v>
      </c>
      <c r="D545" s="8" t="s">
        <v>571</v>
      </c>
      <c r="E545" s="8" t="s">
        <v>545</v>
      </c>
    </row>
    <row r="546" spans="1:5" x14ac:dyDescent="0.3">
      <c r="A546" t="s">
        <v>1289</v>
      </c>
      <c r="D546" s="8" t="s">
        <v>574</v>
      </c>
      <c r="E546" s="8" t="s">
        <v>549</v>
      </c>
    </row>
    <row r="547" spans="1:5" x14ac:dyDescent="0.3">
      <c r="A547" t="s">
        <v>1290</v>
      </c>
      <c r="D547" s="8" t="s">
        <v>574</v>
      </c>
      <c r="E547" s="8" t="s">
        <v>549</v>
      </c>
    </row>
    <row r="548" spans="1:5" x14ac:dyDescent="0.3">
      <c r="A548" t="s">
        <v>1291</v>
      </c>
      <c r="D548" s="8" t="s">
        <v>574</v>
      </c>
      <c r="E548" s="8" t="s">
        <v>549</v>
      </c>
    </row>
    <row r="549" spans="1:5" x14ac:dyDescent="0.3">
      <c r="A549" t="s">
        <v>1292</v>
      </c>
      <c r="D549" s="8" t="s">
        <v>596</v>
      </c>
      <c r="E549" s="8" t="s">
        <v>545</v>
      </c>
    </row>
    <row r="550" spans="1:5" x14ac:dyDescent="0.3">
      <c r="A550" t="s">
        <v>1293</v>
      </c>
      <c r="D550" s="8" t="s">
        <v>596</v>
      </c>
      <c r="E550" s="8" t="s">
        <v>547</v>
      </c>
    </row>
    <row r="551" spans="1:5" x14ac:dyDescent="0.3">
      <c r="A551" t="s">
        <v>1294</v>
      </c>
      <c r="D551" s="8" t="s">
        <v>596</v>
      </c>
      <c r="E551" s="8" t="s">
        <v>545</v>
      </c>
    </row>
    <row r="552" spans="1:5" x14ac:dyDescent="0.3">
      <c r="A552" t="s">
        <v>1295</v>
      </c>
      <c r="D552" s="8" t="s">
        <v>596</v>
      </c>
      <c r="E552" s="8" t="s">
        <v>545</v>
      </c>
    </row>
    <row r="553" spans="1:5" x14ac:dyDescent="0.3">
      <c r="A553" t="s">
        <v>535</v>
      </c>
      <c r="D553" s="8" t="s">
        <v>580</v>
      </c>
      <c r="E553" s="8" t="s">
        <v>545</v>
      </c>
    </row>
    <row r="554" spans="1:5" x14ac:dyDescent="0.3">
      <c r="A554" t="s">
        <v>1296</v>
      </c>
      <c r="D554" s="8" t="s">
        <v>577</v>
      </c>
      <c r="E554" s="8" t="s">
        <v>545</v>
      </c>
    </row>
    <row r="555" spans="1:5" x14ac:dyDescent="0.3">
      <c r="A555" t="s">
        <v>1297</v>
      </c>
      <c r="D555" s="8" t="s">
        <v>576</v>
      </c>
      <c r="E555" s="8" t="s">
        <v>545</v>
      </c>
    </row>
    <row r="556" spans="1:5" x14ac:dyDescent="0.3">
      <c r="A556" t="s">
        <v>1298</v>
      </c>
      <c r="D556" s="8" t="s">
        <v>576</v>
      </c>
      <c r="E556" s="8" t="s">
        <v>545</v>
      </c>
    </row>
    <row r="557" spans="1:5" x14ac:dyDescent="0.3">
      <c r="A557" t="s">
        <v>1299</v>
      </c>
      <c r="D557" s="8" t="s">
        <v>575</v>
      </c>
      <c r="E557" s="8" t="s">
        <v>546</v>
      </c>
    </row>
    <row r="558" spans="1:5" x14ac:dyDescent="0.3">
      <c r="A558" t="s">
        <v>536</v>
      </c>
      <c r="D558" s="8" t="s">
        <v>575</v>
      </c>
      <c r="E558" s="8" t="s">
        <v>546</v>
      </c>
    </row>
    <row r="559" spans="1:5" x14ac:dyDescent="0.3">
      <c r="A559" t="s">
        <v>537</v>
      </c>
      <c r="D559" s="8" t="s">
        <v>575</v>
      </c>
      <c r="E559" s="8" t="s">
        <v>545</v>
      </c>
    </row>
    <row r="560" spans="1:5" x14ac:dyDescent="0.3">
      <c r="A560" t="s">
        <v>1300</v>
      </c>
      <c r="D560" s="8" t="s">
        <v>585</v>
      </c>
      <c r="E560" s="8" t="s">
        <v>545</v>
      </c>
    </row>
    <row r="561" spans="1:5" x14ac:dyDescent="0.3">
      <c r="A561" t="s">
        <v>1301</v>
      </c>
      <c r="D561" s="8" t="s">
        <v>587</v>
      </c>
      <c r="E561" s="8" t="s">
        <v>545</v>
      </c>
    </row>
    <row r="562" spans="1:5" x14ac:dyDescent="0.3">
      <c r="A562" t="s">
        <v>1302</v>
      </c>
      <c r="D562" s="8" t="s">
        <v>588</v>
      </c>
      <c r="E562" s="8" t="s">
        <v>547</v>
      </c>
    </row>
    <row r="563" spans="1:5" x14ac:dyDescent="0.3">
      <c r="A563" t="s">
        <v>1303</v>
      </c>
      <c r="D563" s="8" t="s">
        <v>588</v>
      </c>
      <c r="E563" s="8" t="s">
        <v>547</v>
      </c>
    </row>
    <row r="564" spans="1:5" x14ac:dyDescent="0.3">
      <c r="A564" t="s">
        <v>1304</v>
      </c>
      <c r="D564" s="8" t="s">
        <v>588</v>
      </c>
      <c r="E564" s="8" t="s">
        <v>545</v>
      </c>
    </row>
    <row r="565" spans="1:5" x14ac:dyDescent="0.3">
      <c r="A565" t="s">
        <v>538</v>
      </c>
      <c r="D565" s="8" t="s">
        <v>588</v>
      </c>
      <c r="E565" s="8" t="s">
        <v>547</v>
      </c>
    </row>
    <row r="566" spans="1:5" x14ac:dyDescent="0.3">
      <c r="A566" t="s">
        <v>1305</v>
      </c>
      <c r="D566" s="8" t="s">
        <v>589</v>
      </c>
      <c r="E566" s="8" t="s">
        <v>547</v>
      </c>
    </row>
    <row r="567" spans="1:5" x14ac:dyDescent="0.3">
      <c r="A567" t="s">
        <v>1306</v>
      </c>
      <c r="D567" s="8" t="s">
        <v>589</v>
      </c>
      <c r="E567" s="8" t="s">
        <v>547</v>
      </c>
    </row>
    <row r="568" spans="1:5" x14ac:dyDescent="0.3">
      <c r="A568" t="s">
        <v>1307</v>
      </c>
      <c r="D568" s="8" t="s">
        <v>589</v>
      </c>
      <c r="E568" s="8" t="s">
        <v>545</v>
      </c>
    </row>
    <row r="569" spans="1:5" x14ac:dyDescent="0.3">
      <c r="A569" t="s">
        <v>1308</v>
      </c>
      <c r="D569" s="8" t="s">
        <v>589</v>
      </c>
      <c r="E569" s="8" t="s">
        <v>545</v>
      </c>
    </row>
    <row r="570" spans="1:5" x14ac:dyDescent="0.3">
      <c r="A570" t="s">
        <v>1309</v>
      </c>
      <c r="D570" s="8" t="s">
        <v>598</v>
      </c>
      <c r="E570" s="8" t="s">
        <v>547</v>
      </c>
    </row>
    <row r="571" spans="1:5" x14ac:dyDescent="0.3">
      <c r="A571" t="s">
        <v>1310</v>
      </c>
      <c r="D571" s="8" t="s">
        <v>598</v>
      </c>
      <c r="E571" s="8" t="s">
        <v>547</v>
      </c>
    </row>
    <row r="572" spans="1:5" x14ac:dyDescent="0.3">
      <c r="A572" t="s">
        <v>1311</v>
      </c>
      <c r="D572" s="8" t="s">
        <v>598</v>
      </c>
      <c r="E572" s="8" t="s">
        <v>545</v>
      </c>
    </row>
    <row r="573" spans="1:5" x14ac:dyDescent="0.3">
      <c r="A573" t="s">
        <v>1312</v>
      </c>
      <c r="D573" s="8" t="s">
        <v>598</v>
      </c>
      <c r="E573" s="8" t="s">
        <v>545</v>
      </c>
    </row>
    <row r="574" spans="1:5" x14ac:dyDescent="0.3">
      <c r="A574" t="s">
        <v>1313</v>
      </c>
      <c r="D574" s="8" t="s">
        <v>598</v>
      </c>
      <c r="E574" s="8" t="s">
        <v>545</v>
      </c>
    </row>
    <row r="575" spans="1:5" x14ac:dyDescent="0.3">
      <c r="A575" t="s">
        <v>1314</v>
      </c>
      <c r="D575" s="8" t="s">
        <v>594</v>
      </c>
      <c r="E575" s="8" t="s">
        <v>547</v>
      </c>
    </row>
    <row r="576" spans="1:5" x14ac:dyDescent="0.3">
      <c r="A576" t="s">
        <v>539</v>
      </c>
      <c r="D576" s="8" t="s">
        <v>594</v>
      </c>
      <c r="E576" s="8" t="s">
        <v>545</v>
      </c>
    </row>
    <row r="577" spans="1:5" x14ac:dyDescent="0.3">
      <c r="A577" t="s">
        <v>1315</v>
      </c>
      <c r="D577" s="8" t="s">
        <v>594</v>
      </c>
      <c r="E577" s="8" t="s">
        <v>545</v>
      </c>
    </row>
    <row r="578" spans="1:5" x14ac:dyDescent="0.3">
      <c r="A578" t="s">
        <v>1316</v>
      </c>
      <c r="D578" s="8" t="s">
        <v>595</v>
      </c>
      <c r="E578" s="8" t="s">
        <v>545</v>
      </c>
    </row>
    <row r="579" spans="1:5" x14ac:dyDescent="0.3">
      <c r="A579" t="s">
        <v>1317</v>
      </c>
      <c r="D579" s="8" t="s">
        <v>591</v>
      </c>
      <c r="E579" s="8" t="s">
        <v>547</v>
      </c>
    </row>
    <row r="580" spans="1:5" x14ac:dyDescent="0.3">
      <c r="A580" t="s">
        <v>1318</v>
      </c>
      <c r="D580" s="8" t="s">
        <v>591</v>
      </c>
      <c r="E580" s="8" t="s">
        <v>545</v>
      </c>
    </row>
    <row r="581" spans="1:5" x14ac:dyDescent="0.3">
      <c r="A581" t="s">
        <v>1319</v>
      </c>
      <c r="D581" s="8" t="s">
        <v>591</v>
      </c>
      <c r="E581" s="8" t="s">
        <v>547</v>
      </c>
    </row>
    <row r="582" spans="1:5" x14ac:dyDescent="0.3">
      <c r="A582" t="s">
        <v>1320</v>
      </c>
      <c r="D582" s="8" t="s">
        <v>591</v>
      </c>
      <c r="E582" s="8" t="s">
        <v>547</v>
      </c>
    </row>
    <row r="583" spans="1:5" x14ac:dyDescent="0.3">
      <c r="A583" t="s">
        <v>1321</v>
      </c>
      <c r="D583" s="8" t="s">
        <v>591</v>
      </c>
      <c r="E583" s="8" t="s">
        <v>545</v>
      </c>
    </row>
    <row r="584" spans="1:5" x14ac:dyDescent="0.3">
      <c r="A584" t="s">
        <v>1322</v>
      </c>
      <c r="D584" s="8" t="s">
        <v>591</v>
      </c>
      <c r="E584" s="8" t="s">
        <v>545</v>
      </c>
    </row>
    <row r="585" spans="1:5" x14ac:dyDescent="0.3">
      <c r="A585" t="s">
        <v>1323</v>
      </c>
      <c r="D585" s="8" t="s">
        <v>591</v>
      </c>
      <c r="E585" s="8" t="s">
        <v>545</v>
      </c>
    </row>
    <row r="586" spans="1:5" x14ac:dyDescent="0.3">
      <c r="A586" t="s">
        <v>1324</v>
      </c>
      <c r="D586" s="8" t="s">
        <v>591</v>
      </c>
      <c r="E586" s="8" t="s">
        <v>547</v>
      </c>
    </row>
    <row r="587" spans="1:5" x14ac:dyDescent="0.3">
      <c r="A587" t="s">
        <v>1325</v>
      </c>
      <c r="D587" s="8" t="s">
        <v>591</v>
      </c>
      <c r="E587" s="8" t="s">
        <v>545</v>
      </c>
    </row>
    <row r="588" spans="1:5" x14ac:dyDescent="0.3">
      <c r="A588" t="s">
        <v>1326</v>
      </c>
      <c r="D588" s="8" t="s">
        <v>591</v>
      </c>
      <c r="E588" s="8" t="s">
        <v>547</v>
      </c>
    </row>
    <row r="589" spans="1:5" x14ac:dyDescent="0.3">
      <c r="A589" t="s">
        <v>1327</v>
      </c>
      <c r="D589" s="8" t="s">
        <v>590</v>
      </c>
      <c r="E589" s="8" t="s">
        <v>547</v>
      </c>
    </row>
    <row r="590" spans="1:5" x14ac:dyDescent="0.3">
      <c r="A590" t="s">
        <v>1328</v>
      </c>
      <c r="D590" s="8" t="s">
        <v>590</v>
      </c>
      <c r="E590" s="8" t="s">
        <v>545</v>
      </c>
    </row>
    <row r="591" spans="1:5" x14ac:dyDescent="0.3">
      <c r="A591" t="s">
        <v>1329</v>
      </c>
      <c r="D591" s="8" t="s">
        <v>590</v>
      </c>
      <c r="E591" s="8" t="s">
        <v>545</v>
      </c>
    </row>
    <row r="592" spans="1:5" x14ac:dyDescent="0.3">
      <c r="A592" t="s">
        <v>1330</v>
      </c>
      <c r="D592" s="8" t="s">
        <v>590</v>
      </c>
      <c r="E592" s="8" t="s">
        <v>547</v>
      </c>
    </row>
    <row r="593" spans="1:5" x14ac:dyDescent="0.3">
      <c r="A593" t="s">
        <v>1331</v>
      </c>
      <c r="D593" s="8" t="s">
        <v>590</v>
      </c>
      <c r="E593" s="8" t="s">
        <v>545</v>
      </c>
    </row>
    <row r="594" spans="1:5" x14ac:dyDescent="0.3">
      <c r="A594" t="s">
        <v>1332</v>
      </c>
      <c r="D594" s="8" t="s">
        <v>590</v>
      </c>
      <c r="E594" s="8" t="s">
        <v>545</v>
      </c>
    </row>
    <row r="595" spans="1:5" x14ac:dyDescent="0.3">
      <c r="A595" t="s">
        <v>1333</v>
      </c>
      <c r="D595" s="8" t="s">
        <v>597</v>
      </c>
      <c r="E595" s="8" t="s">
        <v>547</v>
      </c>
    </row>
    <row r="596" spans="1:5" x14ac:dyDescent="0.3">
      <c r="A596" t="s">
        <v>1334</v>
      </c>
      <c r="D596" s="8" t="s">
        <v>597</v>
      </c>
      <c r="E596" s="8" t="s">
        <v>545</v>
      </c>
    </row>
    <row r="597" spans="1:5" x14ac:dyDescent="0.3">
      <c r="A597" t="s">
        <v>1335</v>
      </c>
      <c r="D597" s="8" t="s">
        <v>597</v>
      </c>
      <c r="E597" s="8" t="s">
        <v>547</v>
      </c>
    </row>
    <row r="598" spans="1:5" x14ac:dyDescent="0.3">
      <c r="A598" t="s">
        <v>1336</v>
      </c>
      <c r="D598" s="8" t="s">
        <v>597</v>
      </c>
      <c r="E598" s="8" t="s">
        <v>545</v>
      </c>
    </row>
    <row r="599" spans="1:5" x14ac:dyDescent="0.3">
      <c r="A599" t="s">
        <v>1337</v>
      </c>
      <c r="D599" s="8" t="s">
        <v>597</v>
      </c>
      <c r="E599" s="8" t="s">
        <v>545</v>
      </c>
    </row>
    <row r="600" spans="1:5" x14ac:dyDescent="0.3">
      <c r="A600" t="s">
        <v>1338</v>
      </c>
      <c r="D600" s="8" t="s">
        <v>597</v>
      </c>
      <c r="E600" s="8" t="s">
        <v>545</v>
      </c>
    </row>
    <row r="601" spans="1:5" x14ac:dyDescent="0.3">
      <c r="A601" t="s">
        <v>1339</v>
      </c>
      <c r="D601" s="8" t="s">
        <v>597</v>
      </c>
      <c r="E601" s="8" t="s">
        <v>547</v>
      </c>
    </row>
    <row r="602" spans="1:5" x14ac:dyDescent="0.3">
      <c r="A602" t="s">
        <v>1340</v>
      </c>
      <c r="D602" s="8" t="s">
        <v>597</v>
      </c>
      <c r="E602" s="8" t="s">
        <v>547</v>
      </c>
    </row>
    <row r="603" spans="1:5" x14ac:dyDescent="0.3">
      <c r="A603" t="s">
        <v>1341</v>
      </c>
      <c r="D603" s="8" t="s">
        <v>597</v>
      </c>
      <c r="E603" s="8" t="s">
        <v>545</v>
      </c>
    </row>
    <row r="604" spans="1:5" x14ac:dyDescent="0.3">
      <c r="A604" t="s">
        <v>1342</v>
      </c>
      <c r="D604" s="8" t="s">
        <v>597</v>
      </c>
      <c r="E604" s="8" t="s">
        <v>547</v>
      </c>
    </row>
    <row r="605" spans="1:5" x14ac:dyDescent="0.3">
      <c r="A605" t="s">
        <v>1343</v>
      </c>
      <c r="D605" s="8" t="s">
        <v>597</v>
      </c>
      <c r="E605" s="8" t="s">
        <v>547</v>
      </c>
    </row>
    <row r="606" spans="1:5" x14ac:dyDescent="0.3">
      <c r="A606" t="s">
        <v>1344</v>
      </c>
      <c r="D606" s="8" t="s">
        <v>597</v>
      </c>
      <c r="E606" s="8" t="s">
        <v>545</v>
      </c>
    </row>
    <row r="607" spans="1:5" x14ac:dyDescent="0.3">
      <c r="A607" t="s">
        <v>540</v>
      </c>
      <c r="D607" s="8" t="s">
        <v>600</v>
      </c>
      <c r="E607" s="8" t="s">
        <v>549</v>
      </c>
    </row>
    <row r="608" spans="1:5" x14ac:dyDescent="0.3">
      <c r="A608" t="s">
        <v>1345</v>
      </c>
      <c r="D608" s="8" t="s">
        <v>601</v>
      </c>
      <c r="E608" s="8" t="s">
        <v>547</v>
      </c>
    </row>
    <row r="609" spans="1:5" x14ac:dyDescent="0.3">
      <c r="A609" t="s">
        <v>1346</v>
      </c>
      <c r="D609" s="8" t="s">
        <v>601</v>
      </c>
      <c r="E609" s="8" t="s">
        <v>545</v>
      </c>
    </row>
    <row r="610" spans="1:5" x14ac:dyDescent="0.3">
      <c r="A610" t="s">
        <v>1347</v>
      </c>
      <c r="D610" s="8" t="s">
        <v>601</v>
      </c>
      <c r="E610" s="8" t="s">
        <v>545</v>
      </c>
    </row>
    <row r="611" spans="1:5" x14ac:dyDescent="0.3">
      <c r="A611" t="s">
        <v>1348</v>
      </c>
      <c r="D611" s="8" t="s">
        <v>601</v>
      </c>
      <c r="E611" s="8" t="s">
        <v>545</v>
      </c>
    </row>
    <row r="612" spans="1:5" x14ac:dyDescent="0.3">
      <c r="A612" t="s">
        <v>1349</v>
      </c>
      <c r="D612" s="8" t="s">
        <v>602</v>
      </c>
      <c r="E612" s="8" t="s">
        <v>547</v>
      </c>
    </row>
    <row r="613" spans="1:5" x14ac:dyDescent="0.3">
      <c r="A613" t="s">
        <v>1350</v>
      </c>
      <c r="D613" s="8" t="s">
        <v>583</v>
      </c>
      <c r="E613" s="8" t="s">
        <v>545</v>
      </c>
    </row>
    <row r="614" spans="1:5" x14ac:dyDescent="0.3">
      <c r="A614" t="s">
        <v>1351</v>
      </c>
      <c r="D614" s="8" t="s">
        <v>618</v>
      </c>
      <c r="E614" s="8" t="s">
        <v>547</v>
      </c>
    </row>
    <row r="615" spans="1:5" x14ac:dyDescent="0.3">
      <c r="A615" t="s">
        <v>1352</v>
      </c>
      <c r="D615" s="8" t="s">
        <v>618</v>
      </c>
      <c r="E615" s="8" t="s">
        <v>547</v>
      </c>
    </row>
    <row r="616" spans="1:5" x14ac:dyDescent="0.3">
      <c r="A616" t="s">
        <v>1353</v>
      </c>
      <c r="D616" s="8" t="s">
        <v>618</v>
      </c>
      <c r="E616" s="8" t="s">
        <v>545</v>
      </c>
    </row>
    <row r="617" spans="1:5" x14ac:dyDescent="0.3">
      <c r="A617" t="s">
        <v>1354</v>
      </c>
      <c r="D617" s="8" t="s">
        <v>618</v>
      </c>
      <c r="E617" s="8" t="s">
        <v>547</v>
      </c>
    </row>
    <row r="618" spans="1:5" x14ac:dyDescent="0.3">
      <c r="A618" t="s">
        <v>1355</v>
      </c>
      <c r="D618" s="8" t="s">
        <v>618</v>
      </c>
      <c r="E618" s="8" t="s">
        <v>547</v>
      </c>
    </row>
    <row r="619" spans="1:5" x14ac:dyDescent="0.3">
      <c r="A619" t="s">
        <v>1356</v>
      </c>
      <c r="D619" s="8" t="s">
        <v>618</v>
      </c>
      <c r="E619" s="8" t="s">
        <v>545</v>
      </c>
    </row>
    <row r="620" spans="1:5" x14ac:dyDescent="0.3">
      <c r="A620" t="s">
        <v>1357</v>
      </c>
      <c r="D620" s="8" t="s">
        <v>618</v>
      </c>
      <c r="E620" s="8" t="s">
        <v>545</v>
      </c>
    </row>
    <row r="621" spans="1:5" x14ac:dyDescent="0.3">
      <c r="A621" t="s">
        <v>1358</v>
      </c>
      <c r="D621" s="8" t="s">
        <v>618</v>
      </c>
      <c r="E621" s="8" t="s">
        <v>545</v>
      </c>
    </row>
    <row r="622" spans="1:5" x14ac:dyDescent="0.3">
      <c r="A622" t="s">
        <v>1359</v>
      </c>
      <c r="D622" s="8" t="s">
        <v>618</v>
      </c>
      <c r="E622" s="8" t="s">
        <v>545</v>
      </c>
    </row>
    <row r="623" spans="1:5" x14ac:dyDescent="0.3">
      <c r="A623" t="s">
        <v>1360</v>
      </c>
      <c r="D623" s="8" t="s">
        <v>618</v>
      </c>
      <c r="E623" s="8" t="s">
        <v>547</v>
      </c>
    </row>
    <row r="624" spans="1:5" x14ac:dyDescent="0.3">
      <c r="A624" t="s">
        <v>1361</v>
      </c>
      <c r="D624" s="8" t="s">
        <v>618</v>
      </c>
      <c r="E624" s="8" t="s">
        <v>545</v>
      </c>
    </row>
    <row r="625" spans="1:5" x14ac:dyDescent="0.3">
      <c r="A625" t="s">
        <v>1362</v>
      </c>
      <c r="D625" s="8" t="s">
        <v>618</v>
      </c>
      <c r="E625" s="8" t="s">
        <v>547</v>
      </c>
    </row>
    <row r="626" spans="1:5" x14ac:dyDescent="0.3">
      <c r="A626" t="s">
        <v>1363</v>
      </c>
      <c r="D626" s="8" t="s">
        <v>618</v>
      </c>
      <c r="E626" s="8" t="s">
        <v>547</v>
      </c>
    </row>
    <row r="627" spans="1:5" x14ac:dyDescent="0.3">
      <c r="A627" t="s">
        <v>1364</v>
      </c>
      <c r="D627" s="8" t="s">
        <v>618</v>
      </c>
      <c r="E627" s="8" t="s">
        <v>545</v>
      </c>
    </row>
    <row r="628" spans="1:5" x14ac:dyDescent="0.3">
      <c r="A628" t="s">
        <v>1365</v>
      </c>
      <c r="D628" s="8" t="s">
        <v>618</v>
      </c>
      <c r="E628" s="8" t="s">
        <v>545</v>
      </c>
    </row>
    <row r="629" spans="1:5" x14ac:dyDescent="0.3">
      <c r="A629" t="s">
        <v>1366</v>
      </c>
      <c r="D629" s="8" t="s">
        <v>618</v>
      </c>
      <c r="E629" s="8" t="s">
        <v>547</v>
      </c>
    </row>
    <row r="630" spans="1:5" x14ac:dyDescent="0.3">
      <c r="A630" t="s">
        <v>1367</v>
      </c>
      <c r="D630" s="8" t="s">
        <v>618</v>
      </c>
      <c r="E630" s="8" t="s">
        <v>545</v>
      </c>
    </row>
    <row r="631" spans="1:5" x14ac:dyDescent="0.3">
      <c r="A631" t="s">
        <v>1368</v>
      </c>
      <c r="D631" s="8" t="s">
        <v>618</v>
      </c>
      <c r="E631" s="8" t="s">
        <v>545</v>
      </c>
    </row>
    <row r="632" spans="1:5" x14ac:dyDescent="0.3">
      <c r="A632" t="s">
        <v>1369</v>
      </c>
      <c r="D632" s="8" t="s">
        <v>618</v>
      </c>
      <c r="E632" s="8" t="s">
        <v>545</v>
      </c>
    </row>
    <row r="633" spans="1:5" x14ac:dyDescent="0.3">
      <c r="A633" t="s">
        <v>1370</v>
      </c>
      <c r="D633" s="8" t="s">
        <v>618</v>
      </c>
      <c r="E633" s="8" t="s">
        <v>547</v>
      </c>
    </row>
    <row r="634" spans="1:5" x14ac:dyDescent="0.3">
      <c r="A634" t="s">
        <v>1371</v>
      </c>
      <c r="D634" s="8" t="s">
        <v>618</v>
      </c>
      <c r="E634" s="8" t="s">
        <v>545</v>
      </c>
    </row>
    <row r="635" spans="1:5" x14ac:dyDescent="0.3">
      <c r="A635" t="s">
        <v>1372</v>
      </c>
      <c r="D635" s="8" t="s">
        <v>616</v>
      </c>
      <c r="E635" s="8" t="s">
        <v>547</v>
      </c>
    </row>
    <row r="636" spans="1:5" x14ac:dyDescent="0.3">
      <c r="A636" t="s">
        <v>1373</v>
      </c>
      <c r="D636" s="8" t="s">
        <v>616</v>
      </c>
      <c r="E636" s="8" t="s">
        <v>547</v>
      </c>
    </row>
    <row r="637" spans="1:5" x14ac:dyDescent="0.3">
      <c r="A637" t="s">
        <v>1374</v>
      </c>
      <c r="D637" s="8" t="s">
        <v>616</v>
      </c>
      <c r="E637" s="8" t="s">
        <v>545</v>
      </c>
    </row>
    <row r="638" spans="1:5" x14ac:dyDescent="0.3">
      <c r="A638" t="s">
        <v>1375</v>
      </c>
      <c r="D638" s="8" t="s">
        <v>616</v>
      </c>
      <c r="E638" s="8" t="s">
        <v>545</v>
      </c>
    </row>
    <row r="639" spans="1:5" x14ac:dyDescent="0.3">
      <c r="A639" t="s">
        <v>1376</v>
      </c>
      <c r="D639" s="8" t="s">
        <v>616</v>
      </c>
      <c r="E639" s="8" t="s">
        <v>545</v>
      </c>
    </row>
    <row r="640" spans="1:5" x14ac:dyDescent="0.3">
      <c r="A640" t="s">
        <v>1377</v>
      </c>
      <c r="D640" s="8" t="s">
        <v>616</v>
      </c>
      <c r="E640" s="8" t="s">
        <v>545</v>
      </c>
    </row>
    <row r="641" spans="1:5" x14ac:dyDescent="0.3">
      <c r="A641" t="s">
        <v>1378</v>
      </c>
      <c r="D641" s="8" t="s">
        <v>616</v>
      </c>
      <c r="E641" s="8" t="s">
        <v>545</v>
      </c>
    </row>
    <row r="642" spans="1:5" x14ac:dyDescent="0.3">
      <c r="A642" t="s">
        <v>1379</v>
      </c>
      <c r="D642" s="8" t="s">
        <v>616</v>
      </c>
      <c r="E642" s="8" t="s">
        <v>547</v>
      </c>
    </row>
    <row r="643" spans="1:5" x14ac:dyDescent="0.3">
      <c r="A643" t="s">
        <v>1380</v>
      </c>
      <c r="D643" s="8" t="s">
        <v>613</v>
      </c>
      <c r="E643" s="8" t="s">
        <v>547</v>
      </c>
    </row>
    <row r="644" spans="1:5" x14ac:dyDescent="0.3">
      <c r="A644" t="s">
        <v>1381</v>
      </c>
      <c r="D644" s="8" t="s">
        <v>613</v>
      </c>
      <c r="E644" s="8" t="s">
        <v>547</v>
      </c>
    </row>
    <row r="645" spans="1:5" x14ac:dyDescent="0.3">
      <c r="A645" t="s">
        <v>1382</v>
      </c>
      <c r="D645" s="8" t="s">
        <v>613</v>
      </c>
      <c r="E645" s="8" t="s">
        <v>545</v>
      </c>
    </row>
    <row r="646" spans="1:5" x14ac:dyDescent="0.3">
      <c r="A646" t="s">
        <v>1383</v>
      </c>
      <c r="D646" s="8" t="s">
        <v>613</v>
      </c>
      <c r="E646" s="8" t="s">
        <v>547</v>
      </c>
    </row>
    <row r="647" spans="1:5" x14ac:dyDescent="0.3">
      <c r="A647" t="s">
        <v>1384</v>
      </c>
      <c r="D647" s="8" t="s">
        <v>613</v>
      </c>
      <c r="E647" s="8" t="s">
        <v>545</v>
      </c>
    </row>
    <row r="648" spans="1:5" x14ac:dyDescent="0.3">
      <c r="A648" t="s">
        <v>1385</v>
      </c>
      <c r="D648" s="8" t="s">
        <v>613</v>
      </c>
      <c r="E648" s="8" t="s">
        <v>545</v>
      </c>
    </row>
    <row r="649" spans="1:5" x14ac:dyDescent="0.3">
      <c r="A649" t="s">
        <v>1386</v>
      </c>
      <c r="D649" s="8" t="s">
        <v>613</v>
      </c>
      <c r="E649" s="8" t="s">
        <v>547</v>
      </c>
    </row>
    <row r="650" spans="1:5" x14ac:dyDescent="0.3">
      <c r="A650" t="s">
        <v>1387</v>
      </c>
      <c r="D650" s="8" t="s">
        <v>621</v>
      </c>
      <c r="E650" s="8" t="s">
        <v>547</v>
      </c>
    </row>
    <row r="651" spans="1:5" x14ac:dyDescent="0.3">
      <c r="A651" t="s">
        <v>1388</v>
      </c>
      <c r="D651" s="8" t="s">
        <v>621</v>
      </c>
      <c r="E651" s="8" t="s">
        <v>545</v>
      </c>
    </row>
    <row r="652" spans="1:5" x14ac:dyDescent="0.3">
      <c r="A652" t="s">
        <v>541</v>
      </c>
      <c r="D652" s="8" t="s">
        <v>619</v>
      </c>
      <c r="E652" s="8" t="s">
        <v>547</v>
      </c>
    </row>
    <row r="653" spans="1:5" x14ac:dyDescent="0.3">
      <c r="D653" s="8" t="s">
        <v>619</v>
      </c>
      <c r="E653" s="8" t="s">
        <v>545</v>
      </c>
    </row>
    <row r="654" spans="1:5" x14ac:dyDescent="0.3">
      <c r="D654" s="8" t="s">
        <v>619</v>
      </c>
      <c r="E654" s="8" t="s">
        <v>545</v>
      </c>
    </row>
    <row r="655" spans="1:5" x14ac:dyDescent="0.3">
      <c r="D655" s="8" t="s">
        <v>619</v>
      </c>
      <c r="E655" s="8" t="s">
        <v>552</v>
      </c>
    </row>
    <row r="656" spans="1:5" x14ac:dyDescent="0.3">
      <c r="D656" s="8" t="s">
        <v>619</v>
      </c>
      <c r="E656" s="8" t="s">
        <v>545</v>
      </c>
    </row>
    <row r="657" spans="4:5" x14ac:dyDescent="0.3">
      <c r="D657" s="8" t="s">
        <v>619</v>
      </c>
      <c r="E657" s="8" t="s">
        <v>545</v>
      </c>
    </row>
    <row r="658" spans="4:5" x14ac:dyDescent="0.3">
      <c r="D658" s="8" t="s">
        <v>645</v>
      </c>
      <c r="E658" s="8" t="s">
        <v>547</v>
      </c>
    </row>
    <row r="659" spans="4:5" x14ac:dyDescent="0.3">
      <c r="D659" s="8" t="s">
        <v>654</v>
      </c>
      <c r="E659" s="8" t="s">
        <v>547</v>
      </c>
    </row>
    <row r="660" spans="4:5" x14ac:dyDescent="0.3">
      <c r="D660" s="8" t="s">
        <v>654</v>
      </c>
      <c r="E660" s="8" t="s">
        <v>545</v>
      </c>
    </row>
    <row r="661" spans="4:5" x14ac:dyDescent="0.3">
      <c r="D661" s="8" t="s">
        <v>654</v>
      </c>
      <c r="E661" s="8" t="s">
        <v>547</v>
      </c>
    </row>
    <row r="662" spans="4:5" x14ac:dyDescent="0.3">
      <c r="D662" s="8" t="s">
        <v>654</v>
      </c>
      <c r="E662" s="8" t="s">
        <v>545</v>
      </c>
    </row>
    <row r="663" spans="4:5" x14ac:dyDescent="0.3">
      <c r="D663" s="8" t="s">
        <v>656</v>
      </c>
      <c r="E663" s="8" t="s">
        <v>545</v>
      </c>
    </row>
    <row r="664" spans="4:5" x14ac:dyDescent="0.3">
      <c r="D664" s="8" t="s">
        <v>639</v>
      </c>
      <c r="E664" s="8" t="s">
        <v>545</v>
      </c>
    </row>
    <row r="665" spans="4:5" x14ac:dyDescent="0.3">
      <c r="D665" s="8" t="s">
        <v>639</v>
      </c>
      <c r="E665" s="8" t="s">
        <v>545</v>
      </c>
    </row>
    <row r="666" spans="4:5" x14ac:dyDescent="0.3">
      <c r="D666" s="8" t="s">
        <v>639</v>
      </c>
      <c r="E666" s="8" t="s">
        <v>545</v>
      </c>
    </row>
    <row r="667" spans="4:5" x14ac:dyDescent="0.3">
      <c r="D667" s="8" t="s">
        <v>614</v>
      </c>
      <c r="E667" s="8" t="s">
        <v>546</v>
      </c>
    </row>
    <row r="668" spans="4:5" x14ac:dyDescent="0.3">
      <c r="D668" s="8" t="s">
        <v>614</v>
      </c>
      <c r="E668" s="8" t="s">
        <v>546</v>
      </c>
    </row>
    <row r="669" spans="4:5" x14ac:dyDescent="0.3">
      <c r="D669" s="8" t="s">
        <v>614</v>
      </c>
      <c r="E669" s="8" t="s">
        <v>546</v>
      </c>
    </row>
    <row r="670" spans="4:5" x14ac:dyDescent="0.3">
      <c r="D670" s="8" t="s">
        <v>614</v>
      </c>
      <c r="E670" s="8" t="s">
        <v>546</v>
      </c>
    </row>
    <row r="671" spans="4:5" x14ac:dyDescent="0.3">
      <c r="D671" s="8" t="s">
        <v>614</v>
      </c>
      <c r="E671" s="8" t="s">
        <v>552</v>
      </c>
    </row>
    <row r="672" spans="4:5" x14ac:dyDescent="0.3">
      <c r="D672" s="8" t="s">
        <v>614</v>
      </c>
      <c r="E672" s="8" t="s">
        <v>552</v>
      </c>
    </row>
    <row r="673" spans="4:5" x14ac:dyDescent="0.3">
      <c r="D673" s="8" t="s">
        <v>636</v>
      </c>
      <c r="E673" s="8" t="s">
        <v>546</v>
      </c>
    </row>
    <row r="674" spans="4:5" x14ac:dyDescent="0.3">
      <c r="D674" s="8" t="s">
        <v>636</v>
      </c>
      <c r="E674" s="8" t="s">
        <v>546</v>
      </c>
    </row>
    <row r="675" spans="4:5" x14ac:dyDescent="0.3">
      <c r="D675" s="8" t="s">
        <v>636</v>
      </c>
      <c r="E675" s="8" t="s">
        <v>546</v>
      </c>
    </row>
    <row r="676" spans="4:5" x14ac:dyDescent="0.3">
      <c r="D676" s="8" t="s">
        <v>636</v>
      </c>
      <c r="E676" s="8" t="s">
        <v>581</v>
      </c>
    </row>
    <row r="677" spans="4:5" x14ac:dyDescent="0.3">
      <c r="D677" s="8" t="s">
        <v>635</v>
      </c>
      <c r="E677" s="8" t="s">
        <v>546</v>
      </c>
    </row>
    <row r="678" spans="4:5" x14ac:dyDescent="0.3">
      <c r="D678" s="8" t="s">
        <v>635</v>
      </c>
      <c r="E678" s="8" t="s">
        <v>546</v>
      </c>
    </row>
    <row r="679" spans="4:5" x14ac:dyDescent="0.3">
      <c r="D679" s="8" t="s">
        <v>635</v>
      </c>
      <c r="E679" s="8" t="s">
        <v>546</v>
      </c>
    </row>
    <row r="680" spans="4:5" x14ac:dyDescent="0.3">
      <c r="D680" s="8" t="s">
        <v>635</v>
      </c>
      <c r="E680" s="8" t="s">
        <v>581</v>
      </c>
    </row>
    <row r="681" spans="4:5" x14ac:dyDescent="0.3">
      <c r="D681" s="8" t="s">
        <v>635</v>
      </c>
      <c r="E681" s="8" t="s">
        <v>546</v>
      </c>
    </row>
    <row r="682" spans="4:5" x14ac:dyDescent="0.3">
      <c r="D682" s="8" t="s">
        <v>635</v>
      </c>
      <c r="E682" s="8" t="s">
        <v>552</v>
      </c>
    </row>
    <row r="683" spans="4:5" x14ac:dyDescent="0.3">
      <c r="D683" s="8" t="s">
        <v>617</v>
      </c>
      <c r="E683" s="8" t="s">
        <v>546</v>
      </c>
    </row>
    <row r="684" spans="4:5" x14ac:dyDescent="0.3">
      <c r="D684" s="8" t="s">
        <v>617</v>
      </c>
      <c r="E684" s="8" t="s">
        <v>546</v>
      </c>
    </row>
    <row r="685" spans="4:5" x14ac:dyDescent="0.3">
      <c r="D685" s="8" t="s">
        <v>617</v>
      </c>
      <c r="E685" s="8" t="s">
        <v>546</v>
      </c>
    </row>
    <row r="686" spans="4:5" x14ac:dyDescent="0.3">
      <c r="D686" s="8" t="s">
        <v>617</v>
      </c>
      <c r="E686" s="8" t="s">
        <v>546</v>
      </c>
    </row>
    <row r="687" spans="4:5" x14ac:dyDescent="0.3">
      <c r="D687" s="8" t="s">
        <v>617</v>
      </c>
      <c r="E687" s="8" t="s">
        <v>552</v>
      </c>
    </row>
    <row r="688" spans="4:5" x14ac:dyDescent="0.3">
      <c r="D688" s="8" t="s">
        <v>617</v>
      </c>
      <c r="E688" s="8" t="s">
        <v>546</v>
      </c>
    </row>
    <row r="689" spans="4:5" x14ac:dyDescent="0.3">
      <c r="D689" s="8" t="s">
        <v>651</v>
      </c>
      <c r="E689" s="8" t="s">
        <v>546</v>
      </c>
    </row>
    <row r="690" spans="4:5" x14ac:dyDescent="0.3">
      <c r="D690" s="8" t="s">
        <v>651</v>
      </c>
      <c r="E690" s="8" t="s">
        <v>546</v>
      </c>
    </row>
    <row r="691" spans="4:5" x14ac:dyDescent="0.3">
      <c r="D691" s="8" t="s">
        <v>651</v>
      </c>
      <c r="E691" s="8" t="s">
        <v>546</v>
      </c>
    </row>
    <row r="692" spans="4:5" x14ac:dyDescent="0.3">
      <c r="D692" s="8" t="s">
        <v>651</v>
      </c>
      <c r="E692" s="8" t="s">
        <v>546</v>
      </c>
    </row>
    <row r="693" spans="4:5" x14ac:dyDescent="0.3">
      <c r="D693" s="8" t="s">
        <v>651</v>
      </c>
      <c r="E693" s="8" t="s">
        <v>546</v>
      </c>
    </row>
    <row r="694" spans="4:5" x14ac:dyDescent="0.3">
      <c r="D694" s="8" t="s">
        <v>651</v>
      </c>
      <c r="E694" s="8" t="s">
        <v>552</v>
      </c>
    </row>
    <row r="695" spans="4:5" x14ac:dyDescent="0.3">
      <c r="D695" s="8" t="s">
        <v>634</v>
      </c>
      <c r="E695" s="8" t="s">
        <v>546</v>
      </c>
    </row>
    <row r="696" spans="4:5" x14ac:dyDescent="0.3">
      <c r="D696" s="8" t="s">
        <v>634</v>
      </c>
      <c r="E696" s="8" t="s">
        <v>546</v>
      </c>
    </row>
    <row r="697" spans="4:5" x14ac:dyDescent="0.3">
      <c r="D697" s="8" t="s">
        <v>634</v>
      </c>
      <c r="E697" s="8" t="s">
        <v>546</v>
      </c>
    </row>
    <row r="698" spans="4:5" x14ac:dyDescent="0.3">
      <c r="D698" s="8" t="s">
        <v>634</v>
      </c>
      <c r="E698" s="8">
        <v>0</v>
      </c>
    </row>
    <row r="699" spans="4:5" x14ac:dyDescent="0.3">
      <c r="D699" s="8" t="s">
        <v>634</v>
      </c>
      <c r="E699" s="8" t="s">
        <v>552</v>
      </c>
    </row>
    <row r="700" spans="4:5" x14ac:dyDescent="0.3">
      <c r="D700" s="8" t="s">
        <v>634</v>
      </c>
      <c r="E700" s="8" t="s">
        <v>552</v>
      </c>
    </row>
    <row r="701" spans="4:5" x14ac:dyDescent="0.3">
      <c r="D701" s="8" t="s">
        <v>647</v>
      </c>
      <c r="E701" s="8" t="s">
        <v>546</v>
      </c>
    </row>
    <row r="702" spans="4:5" x14ac:dyDescent="0.3">
      <c r="D702" s="8" t="s">
        <v>647</v>
      </c>
      <c r="E702" s="8" t="s">
        <v>546</v>
      </c>
    </row>
    <row r="703" spans="4:5" x14ac:dyDescent="0.3">
      <c r="D703" s="8" t="s">
        <v>1217</v>
      </c>
      <c r="E703" s="8" t="s">
        <v>581</v>
      </c>
    </row>
    <row r="704" spans="4:5" x14ac:dyDescent="0.3">
      <c r="D704" s="8" t="s">
        <v>626</v>
      </c>
      <c r="E704" s="8" t="s">
        <v>546</v>
      </c>
    </row>
    <row r="705" spans="4:5" x14ac:dyDescent="0.3">
      <c r="D705" s="8" t="s">
        <v>626</v>
      </c>
      <c r="E705" s="8" t="s">
        <v>546</v>
      </c>
    </row>
    <row r="706" spans="4:5" x14ac:dyDescent="0.3">
      <c r="D706" s="8" t="s">
        <v>626</v>
      </c>
      <c r="E706" s="8" t="s">
        <v>552</v>
      </c>
    </row>
    <row r="707" spans="4:5" x14ac:dyDescent="0.3">
      <c r="D707" s="8" t="s">
        <v>626</v>
      </c>
      <c r="E707" s="8" t="s">
        <v>546</v>
      </c>
    </row>
    <row r="708" spans="4:5" x14ac:dyDescent="0.3">
      <c r="D708" s="8" t="s">
        <v>626</v>
      </c>
      <c r="E708" s="8" t="s">
        <v>552</v>
      </c>
    </row>
    <row r="709" spans="4:5" x14ac:dyDescent="0.3">
      <c r="D709" s="8" t="s">
        <v>630</v>
      </c>
      <c r="E709" s="8" t="s">
        <v>546</v>
      </c>
    </row>
    <row r="710" spans="4:5" x14ac:dyDescent="0.3">
      <c r="D710" s="8" t="s">
        <v>630</v>
      </c>
      <c r="E710" s="8" t="s">
        <v>546</v>
      </c>
    </row>
    <row r="711" spans="4:5" x14ac:dyDescent="0.3">
      <c r="D711" s="8" t="s">
        <v>630</v>
      </c>
      <c r="E711" s="8" t="s">
        <v>546</v>
      </c>
    </row>
    <row r="712" spans="4:5" x14ac:dyDescent="0.3">
      <c r="D712" s="8" t="s">
        <v>630</v>
      </c>
      <c r="E712" s="8" t="s">
        <v>546</v>
      </c>
    </row>
    <row r="713" spans="4:5" x14ac:dyDescent="0.3">
      <c r="D713" s="8" t="s">
        <v>630</v>
      </c>
      <c r="E713" s="8" t="s">
        <v>552</v>
      </c>
    </row>
    <row r="714" spans="4:5" x14ac:dyDescent="0.3">
      <c r="D714" s="8" t="s">
        <v>630</v>
      </c>
      <c r="E714" s="8" t="s">
        <v>552</v>
      </c>
    </row>
    <row r="715" spans="4:5" x14ac:dyDescent="0.3">
      <c r="D715" s="8" t="s">
        <v>630</v>
      </c>
      <c r="E715" s="8" t="s">
        <v>546</v>
      </c>
    </row>
    <row r="716" spans="4:5" x14ac:dyDescent="0.3">
      <c r="D716" s="8" t="s">
        <v>640</v>
      </c>
      <c r="E716" s="8" t="s">
        <v>546</v>
      </c>
    </row>
    <row r="717" spans="4:5" x14ac:dyDescent="0.3">
      <c r="D717" s="8" t="s">
        <v>640</v>
      </c>
      <c r="E717" s="8" t="s">
        <v>546</v>
      </c>
    </row>
    <row r="718" spans="4:5" x14ac:dyDescent="0.3">
      <c r="D718" s="8" t="s">
        <v>640</v>
      </c>
      <c r="E718" s="8" t="s">
        <v>546</v>
      </c>
    </row>
    <row r="719" spans="4:5" x14ac:dyDescent="0.3">
      <c r="D719" s="8" t="s">
        <v>640</v>
      </c>
      <c r="E719" s="8" t="s">
        <v>546</v>
      </c>
    </row>
    <row r="720" spans="4:5" x14ac:dyDescent="0.3">
      <c r="D720" s="8" t="s">
        <v>640</v>
      </c>
      <c r="E720" s="8" t="s">
        <v>546</v>
      </c>
    </row>
    <row r="721" spans="4:5" x14ac:dyDescent="0.3">
      <c r="D721" s="8" t="s">
        <v>644</v>
      </c>
      <c r="E721" s="8" t="s">
        <v>546</v>
      </c>
    </row>
    <row r="722" spans="4:5" x14ac:dyDescent="0.3">
      <c r="D722" s="8" t="s">
        <v>644</v>
      </c>
      <c r="E722" s="8" t="s">
        <v>546</v>
      </c>
    </row>
    <row r="723" spans="4:5" x14ac:dyDescent="0.3">
      <c r="D723" s="8" t="s">
        <v>1218</v>
      </c>
      <c r="E723" s="8" t="s">
        <v>552</v>
      </c>
    </row>
    <row r="724" spans="4:5" x14ac:dyDescent="0.3">
      <c r="D724" s="8" t="s">
        <v>1218</v>
      </c>
      <c r="E724" s="8" t="s">
        <v>552</v>
      </c>
    </row>
    <row r="725" spans="4:5" x14ac:dyDescent="0.3">
      <c r="D725" s="8" t="s">
        <v>1218</v>
      </c>
      <c r="E725" s="8" t="s">
        <v>552</v>
      </c>
    </row>
    <row r="726" spans="4:5" x14ac:dyDescent="0.3">
      <c r="D726" s="8" t="s">
        <v>629</v>
      </c>
      <c r="E726" s="8" t="s">
        <v>546</v>
      </c>
    </row>
    <row r="727" spans="4:5" x14ac:dyDescent="0.3">
      <c r="D727" s="8" t="s">
        <v>629</v>
      </c>
      <c r="E727" s="8" t="s">
        <v>546</v>
      </c>
    </row>
    <row r="728" spans="4:5" x14ac:dyDescent="0.3">
      <c r="D728" s="8" t="s">
        <v>1389</v>
      </c>
      <c r="E728" s="8" t="s">
        <v>552</v>
      </c>
    </row>
    <row r="729" spans="4:5" x14ac:dyDescent="0.3">
      <c r="D729" s="8" t="s">
        <v>641</v>
      </c>
      <c r="E729" s="8" t="s">
        <v>546</v>
      </c>
    </row>
    <row r="730" spans="4:5" x14ac:dyDescent="0.3">
      <c r="D730" s="8" t="s">
        <v>641</v>
      </c>
      <c r="E730" s="8" t="s">
        <v>546</v>
      </c>
    </row>
    <row r="731" spans="4:5" x14ac:dyDescent="0.3">
      <c r="D731" s="8" t="s">
        <v>641</v>
      </c>
      <c r="E731" s="8" t="s">
        <v>546</v>
      </c>
    </row>
    <row r="732" spans="4:5" x14ac:dyDescent="0.3">
      <c r="D732" s="8" t="s">
        <v>642</v>
      </c>
      <c r="E732" s="8" t="s">
        <v>546</v>
      </c>
    </row>
    <row r="733" spans="4:5" x14ac:dyDescent="0.3">
      <c r="D733" s="8" t="s">
        <v>642</v>
      </c>
      <c r="E733" s="8" t="s">
        <v>546</v>
      </c>
    </row>
    <row r="734" spans="4:5" x14ac:dyDescent="0.3">
      <c r="D734" s="8" t="s">
        <v>642</v>
      </c>
      <c r="E734" s="8" t="s">
        <v>546</v>
      </c>
    </row>
    <row r="735" spans="4:5" x14ac:dyDescent="0.3">
      <c r="D735" s="8" t="s">
        <v>1219</v>
      </c>
      <c r="E735" s="8" t="s">
        <v>552</v>
      </c>
    </row>
    <row r="736" spans="4:5" x14ac:dyDescent="0.3">
      <c r="D736" s="8" t="s">
        <v>642</v>
      </c>
      <c r="E736" s="8" t="s">
        <v>546</v>
      </c>
    </row>
    <row r="737" spans="4:5" x14ac:dyDescent="0.3">
      <c r="D737" s="8" t="s">
        <v>1219</v>
      </c>
      <c r="E737" s="8" t="s">
        <v>552</v>
      </c>
    </row>
    <row r="738" spans="4:5" x14ac:dyDescent="0.3">
      <c r="D738" s="8" t="s">
        <v>657</v>
      </c>
      <c r="E738" s="8" t="s">
        <v>546</v>
      </c>
    </row>
    <row r="739" spans="4:5" x14ac:dyDescent="0.3">
      <c r="D739" s="8" t="s">
        <v>657</v>
      </c>
      <c r="E739" s="8" t="s">
        <v>546</v>
      </c>
    </row>
    <row r="740" spans="4:5" x14ac:dyDescent="0.3">
      <c r="D740" s="8" t="s">
        <v>657</v>
      </c>
      <c r="E740" s="8" t="s">
        <v>546</v>
      </c>
    </row>
    <row r="741" spans="4:5" x14ac:dyDescent="0.3">
      <c r="D741" s="8" t="s">
        <v>657</v>
      </c>
      <c r="E741" s="8" t="s">
        <v>546</v>
      </c>
    </row>
    <row r="742" spans="4:5" x14ac:dyDescent="0.3">
      <c r="D742" s="8" t="s">
        <v>657</v>
      </c>
      <c r="E742" s="8" t="s">
        <v>552</v>
      </c>
    </row>
    <row r="743" spans="4:5" x14ac:dyDescent="0.3">
      <c r="D743" s="8" t="s">
        <v>657</v>
      </c>
      <c r="E743" s="8">
        <v>0</v>
      </c>
    </row>
    <row r="744" spans="4:5" x14ac:dyDescent="0.3">
      <c r="D744" s="8" t="s">
        <v>655</v>
      </c>
      <c r="E744" s="8" t="s">
        <v>546</v>
      </c>
    </row>
    <row r="745" spans="4:5" x14ac:dyDescent="0.3">
      <c r="D745" s="8" t="s">
        <v>655</v>
      </c>
      <c r="E745" s="8" t="s">
        <v>546</v>
      </c>
    </row>
    <row r="746" spans="4:5" x14ac:dyDescent="0.3">
      <c r="D746" s="8" t="s">
        <v>655</v>
      </c>
      <c r="E746" s="8" t="s">
        <v>546</v>
      </c>
    </row>
    <row r="747" spans="4:5" x14ac:dyDescent="0.3">
      <c r="D747" s="8" t="s">
        <v>1220</v>
      </c>
      <c r="E747" s="8" t="s">
        <v>552</v>
      </c>
    </row>
    <row r="748" spans="4:5" x14ac:dyDescent="0.3">
      <c r="D748" s="8" t="s">
        <v>655</v>
      </c>
      <c r="E748" s="8" t="s">
        <v>546</v>
      </c>
    </row>
    <row r="749" spans="4:5" x14ac:dyDescent="0.3">
      <c r="D749" s="8" t="s">
        <v>632</v>
      </c>
      <c r="E749" s="8" t="s">
        <v>546</v>
      </c>
    </row>
    <row r="750" spans="4:5" x14ac:dyDescent="0.3">
      <c r="D750" s="8" t="s">
        <v>627</v>
      </c>
      <c r="E750" s="8" t="s">
        <v>546</v>
      </c>
    </row>
    <row r="751" spans="4:5" x14ac:dyDescent="0.3">
      <c r="D751" s="8" t="s">
        <v>627</v>
      </c>
      <c r="E751" s="8" t="s">
        <v>546</v>
      </c>
    </row>
    <row r="752" spans="4:5" x14ac:dyDescent="0.3">
      <c r="D752" s="8" t="s">
        <v>643</v>
      </c>
      <c r="E752" s="8" t="s">
        <v>546</v>
      </c>
    </row>
    <row r="753" spans="4:5" x14ac:dyDescent="0.3">
      <c r="D753" s="8" t="s">
        <v>643</v>
      </c>
      <c r="E753" s="8" t="s">
        <v>546</v>
      </c>
    </row>
    <row r="754" spans="4:5" x14ac:dyDescent="0.3">
      <c r="D754" s="8" t="s">
        <v>625</v>
      </c>
      <c r="E754" s="8" t="s">
        <v>546</v>
      </c>
    </row>
    <row r="755" spans="4:5" x14ac:dyDescent="0.3">
      <c r="D755" s="8" t="s">
        <v>625</v>
      </c>
      <c r="E755" s="8" t="s">
        <v>546</v>
      </c>
    </row>
    <row r="756" spans="4:5" x14ac:dyDescent="0.3">
      <c r="D756" s="8" t="s">
        <v>648</v>
      </c>
      <c r="E756" s="8" t="s">
        <v>546</v>
      </c>
    </row>
    <row r="757" spans="4:5" x14ac:dyDescent="0.3">
      <c r="D757" s="8" t="s">
        <v>648</v>
      </c>
      <c r="E757" s="8" t="s">
        <v>546</v>
      </c>
    </row>
    <row r="758" spans="4:5" x14ac:dyDescent="0.3">
      <c r="D758" s="8" t="s">
        <v>648</v>
      </c>
      <c r="E758" s="8" t="s">
        <v>546</v>
      </c>
    </row>
    <row r="759" spans="4:5" x14ac:dyDescent="0.3">
      <c r="D759" s="8" t="s">
        <v>648</v>
      </c>
      <c r="E759" s="8" t="s">
        <v>546</v>
      </c>
    </row>
    <row r="760" spans="4:5" x14ac:dyDescent="0.3">
      <c r="D760" s="8" t="s">
        <v>648</v>
      </c>
      <c r="E760" s="8" t="s">
        <v>552</v>
      </c>
    </row>
    <row r="761" spans="4:5" x14ac:dyDescent="0.3">
      <c r="D761" s="8" t="s">
        <v>648</v>
      </c>
      <c r="E761" s="8" t="s">
        <v>552</v>
      </c>
    </row>
    <row r="762" spans="4:5" x14ac:dyDescent="0.3">
      <c r="D762" s="8" t="s">
        <v>628</v>
      </c>
      <c r="E762" s="8" t="s">
        <v>546</v>
      </c>
    </row>
    <row r="763" spans="4:5" x14ac:dyDescent="0.3">
      <c r="D763" s="8" t="s">
        <v>628</v>
      </c>
      <c r="E763" s="8" t="s">
        <v>546</v>
      </c>
    </row>
    <row r="764" spans="4:5" x14ac:dyDescent="0.3">
      <c r="D764" s="8" t="s">
        <v>653</v>
      </c>
      <c r="E764" s="8" t="s">
        <v>546</v>
      </c>
    </row>
    <row r="765" spans="4:5" x14ac:dyDescent="0.3">
      <c r="D765" s="8" t="s">
        <v>653</v>
      </c>
      <c r="E765" s="8" t="s">
        <v>546</v>
      </c>
    </row>
    <row r="766" spans="4:5" x14ac:dyDescent="0.3">
      <c r="D766" s="8" t="s">
        <v>653</v>
      </c>
      <c r="E766" s="8" t="s">
        <v>546</v>
      </c>
    </row>
    <row r="767" spans="4:5" x14ac:dyDescent="0.3">
      <c r="D767" s="8" t="s">
        <v>653</v>
      </c>
      <c r="E767" s="8" t="s">
        <v>552</v>
      </c>
    </row>
    <row r="768" spans="4:5" x14ac:dyDescent="0.3">
      <c r="D768" s="8" t="s">
        <v>653</v>
      </c>
      <c r="E768" s="8" t="s">
        <v>552</v>
      </c>
    </row>
    <row r="769" spans="4:5" x14ac:dyDescent="0.3">
      <c r="D769" s="8" t="s">
        <v>653</v>
      </c>
      <c r="E769" s="8" t="s">
        <v>552</v>
      </c>
    </row>
    <row r="770" spans="4:5" x14ac:dyDescent="0.3">
      <c r="D770" s="8" t="s">
        <v>673</v>
      </c>
      <c r="E770" s="8" t="s">
        <v>546</v>
      </c>
    </row>
    <row r="771" spans="4:5" x14ac:dyDescent="0.3">
      <c r="D771" s="8" t="s">
        <v>673</v>
      </c>
      <c r="E771" s="8" t="s">
        <v>546</v>
      </c>
    </row>
    <row r="772" spans="4:5" x14ac:dyDescent="0.3">
      <c r="D772" s="8" t="s">
        <v>673</v>
      </c>
      <c r="E772" s="8" t="s">
        <v>552</v>
      </c>
    </row>
    <row r="773" spans="4:5" x14ac:dyDescent="0.3">
      <c r="D773" s="8" t="s">
        <v>673</v>
      </c>
      <c r="E773" s="8" t="s">
        <v>552</v>
      </c>
    </row>
    <row r="774" spans="4:5" x14ac:dyDescent="0.3">
      <c r="D774" s="8" t="s">
        <v>612</v>
      </c>
      <c r="E774" s="8" t="s">
        <v>546</v>
      </c>
    </row>
    <row r="775" spans="4:5" x14ac:dyDescent="0.3">
      <c r="D775" s="8" t="s">
        <v>638</v>
      </c>
      <c r="E775" s="8" t="s">
        <v>546</v>
      </c>
    </row>
    <row r="776" spans="4:5" x14ac:dyDescent="0.3">
      <c r="D776" s="8" t="s">
        <v>638</v>
      </c>
      <c r="E776" s="8" t="s">
        <v>546</v>
      </c>
    </row>
    <row r="777" spans="4:5" x14ac:dyDescent="0.3">
      <c r="D777" s="8" t="s">
        <v>638</v>
      </c>
      <c r="E777" s="8" t="s">
        <v>546</v>
      </c>
    </row>
    <row r="778" spans="4:5" x14ac:dyDescent="0.3">
      <c r="D778" s="8" t="s">
        <v>638</v>
      </c>
      <c r="E778" s="8" t="s">
        <v>546</v>
      </c>
    </row>
    <row r="779" spans="4:5" x14ac:dyDescent="0.3">
      <c r="D779" s="8" t="s">
        <v>638</v>
      </c>
      <c r="E779" s="8" t="s">
        <v>552</v>
      </c>
    </row>
    <row r="780" spans="4:5" x14ac:dyDescent="0.3">
      <c r="D780" s="8" t="s">
        <v>638</v>
      </c>
      <c r="E780" s="8" t="s">
        <v>552</v>
      </c>
    </row>
    <row r="781" spans="4:5" x14ac:dyDescent="0.3">
      <c r="D781" s="8" t="s">
        <v>620</v>
      </c>
      <c r="E781" s="8" t="s">
        <v>546</v>
      </c>
    </row>
    <row r="782" spans="4:5" x14ac:dyDescent="0.3">
      <c r="D782" s="8" t="s">
        <v>620</v>
      </c>
      <c r="E782" s="8" t="s">
        <v>546</v>
      </c>
    </row>
    <row r="783" spans="4:5" x14ac:dyDescent="0.3">
      <c r="D783" s="8" t="s">
        <v>620</v>
      </c>
      <c r="E783" s="8" t="s">
        <v>545</v>
      </c>
    </row>
    <row r="784" spans="4:5" x14ac:dyDescent="0.3">
      <c r="D784" s="8" t="s">
        <v>620</v>
      </c>
      <c r="E784" s="8" t="s">
        <v>545</v>
      </c>
    </row>
    <row r="785" spans="4:5" x14ac:dyDescent="0.3">
      <c r="D785" s="8" t="s">
        <v>620</v>
      </c>
      <c r="E785" s="8" t="s">
        <v>545</v>
      </c>
    </row>
    <row r="786" spans="4:5" x14ac:dyDescent="0.3">
      <c r="D786" s="8" t="s">
        <v>620</v>
      </c>
      <c r="E786" s="8" t="s">
        <v>545</v>
      </c>
    </row>
    <row r="787" spans="4:5" x14ac:dyDescent="0.3">
      <c r="D787" s="8" t="s">
        <v>620</v>
      </c>
      <c r="E787" s="8" t="s">
        <v>545</v>
      </c>
    </row>
    <row r="788" spans="4:5" x14ac:dyDescent="0.3">
      <c r="D788" s="8" t="s">
        <v>620</v>
      </c>
      <c r="E788" s="8" t="s">
        <v>547</v>
      </c>
    </row>
    <row r="789" spans="4:5" x14ac:dyDescent="0.3">
      <c r="D789" s="8" t="s">
        <v>620</v>
      </c>
      <c r="E789" s="8" t="s">
        <v>545</v>
      </c>
    </row>
    <row r="790" spans="4:5" x14ac:dyDescent="0.3">
      <c r="D790" s="8" t="s">
        <v>615</v>
      </c>
      <c r="E790" s="8" t="s">
        <v>546</v>
      </c>
    </row>
    <row r="791" spans="4:5" x14ac:dyDescent="0.3">
      <c r="D791" s="8" t="s">
        <v>615</v>
      </c>
      <c r="E791" s="8" t="s">
        <v>547</v>
      </c>
    </row>
    <row r="792" spans="4:5" x14ac:dyDescent="0.3">
      <c r="D792" s="8" t="s">
        <v>615</v>
      </c>
      <c r="E792" s="8" t="s">
        <v>545</v>
      </c>
    </row>
    <row r="793" spans="4:5" x14ac:dyDescent="0.3">
      <c r="D793" s="8" t="s">
        <v>615</v>
      </c>
      <c r="E793" s="8" t="s">
        <v>545</v>
      </c>
    </row>
    <row r="794" spans="4:5" x14ac:dyDescent="0.3">
      <c r="D794" t="s">
        <v>615</v>
      </c>
      <c r="E794" t="s">
        <v>547</v>
      </c>
    </row>
    <row r="795" spans="4:5" x14ac:dyDescent="0.3">
      <c r="D795" t="s">
        <v>615</v>
      </c>
      <c r="E795" t="s">
        <v>545</v>
      </c>
    </row>
    <row r="796" spans="4:5" x14ac:dyDescent="0.3">
      <c r="D796" t="s">
        <v>615</v>
      </c>
      <c r="E796" t="s">
        <v>545</v>
      </c>
    </row>
    <row r="797" spans="4:5" x14ac:dyDescent="0.3">
      <c r="D797" t="s">
        <v>615</v>
      </c>
      <c r="E797" t="s">
        <v>546</v>
      </c>
    </row>
    <row r="798" spans="4:5" x14ac:dyDescent="0.3">
      <c r="D798" t="s">
        <v>674</v>
      </c>
      <c r="E798" t="s">
        <v>546</v>
      </c>
    </row>
    <row r="799" spans="4:5" x14ac:dyDescent="0.3">
      <c r="D799" t="s">
        <v>674</v>
      </c>
      <c r="E799" t="s">
        <v>547</v>
      </c>
    </row>
    <row r="800" spans="4:5" x14ac:dyDescent="0.3">
      <c r="D800" t="s">
        <v>674</v>
      </c>
      <c r="E800" t="s">
        <v>547</v>
      </c>
    </row>
    <row r="801" spans="4:5" x14ac:dyDescent="0.3">
      <c r="D801" t="s">
        <v>674</v>
      </c>
      <c r="E801" t="s">
        <v>545</v>
      </c>
    </row>
    <row r="802" spans="4:5" x14ac:dyDescent="0.3">
      <c r="D802" t="s">
        <v>650</v>
      </c>
      <c r="E802" t="s">
        <v>547</v>
      </c>
    </row>
    <row r="803" spans="4:5" x14ac:dyDescent="0.3">
      <c r="D803" t="s">
        <v>649</v>
      </c>
      <c r="E803" t="s">
        <v>547</v>
      </c>
    </row>
    <row r="804" spans="4:5" x14ac:dyDescent="0.3">
      <c r="D804" t="s">
        <v>649</v>
      </c>
      <c r="E804" t="s">
        <v>547</v>
      </c>
    </row>
    <row r="805" spans="4:5" x14ac:dyDescent="0.3">
      <c r="D805" t="s">
        <v>649</v>
      </c>
      <c r="E805" t="s">
        <v>547</v>
      </c>
    </row>
    <row r="806" spans="4:5" x14ac:dyDescent="0.3">
      <c r="D806" t="s">
        <v>633</v>
      </c>
      <c r="E806" t="s">
        <v>547</v>
      </c>
    </row>
    <row r="807" spans="4:5" x14ac:dyDescent="0.3">
      <c r="D807" t="s">
        <v>692</v>
      </c>
      <c r="E807" t="s">
        <v>546</v>
      </c>
    </row>
    <row r="808" spans="4:5" x14ac:dyDescent="0.3">
      <c r="D808" t="s">
        <v>692</v>
      </c>
      <c r="E808" t="s">
        <v>546</v>
      </c>
    </row>
    <row r="809" spans="4:5" x14ac:dyDescent="0.3">
      <c r="D809" t="s">
        <v>692</v>
      </c>
      <c r="E809" t="s">
        <v>546</v>
      </c>
    </row>
    <row r="810" spans="4:5" x14ac:dyDescent="0.3">
      <c r="D810" t="s">
        <v>692</v>
      </c>
      <c r="E810" t="s">
        <v>546</v>
      </c>
    </row>
    <row r="811" spans="4:5" x14ac:dyDescent="0.3">
      <c r="D811" t="s">
        <v>692</v>
      </c>
      <c r="E811" t="s">
        <v>546</v>
      </c>
    </row>
    <row r="812" spans="4:5" x14ac:dyDescent="0.3">
      <c r="D812" t="s">
        <v>692</v>
      </c>
      <c r="E812" t="s">
        <v>546</v>
      </c>
    </row>
    <row r="813" spans="4:5" x14ac:dyDescent="0.3">
      <c r="D813" t="s">
        <v>692</v>
      </c>
      <c r="E813" t="s">
        <v>546</v>
      </c>
    </row>
    <row r="814" spans="4:5" x14ac:dyDescent="0.3">
      <c r="D814" t="s">
        <v>692</v>
      </c>
      <c r="E814" t="s">
        <v>552</v>
      </c>
    </row>
    <row r="815" spans="4:5" x14ac:dyDescent="0.3">
      <c r="D815" t="s">
        <v>692</v>
      </c>
      <c r="E815" t="s">
        <v>552</v>
      </c>
    </row>
    <row r="816" spans="4:5" x14ac:dyDescent="0.3">
      <c r="D816" t="s">
        <v>708</v>
      </c>
      <c r="E816" t="s">
        <v>547</v>
      </c>
    </row>
    <row r="817" spans="4:5" x14ac:dyDescent="0.3">
      <c r="D817" t="s">
        <v>708</v>
      </c>
      <c r="E817" t="s">
        <v>547</v>
      </c>
    </row>
    <row r="818" spans="4:5" x14ac:dyDescent="0.3">
      <c r="D818" t="s">
        <v>708</v>
      </c>
      <c r="E818" t="s">
        <v>547</v>
      </c>
    </row>
    <row r="819" spans="4:5" x14ac:dyDescent="0.3">
      <c r="D819" t="s">
        <v>708</v>
      </c>
      <c r="E819" t="s">
        <v>545</v>
      </c>
    </row>
    <row r="820" spans="4:5" x14ac:dyDescent="0.3">
      <c r="D820" t="s">
        <v>708</v>
      </c>
      <c r="E820" t="s">
        <v>545</v>
      </c>
    </row>
    <row r="821" spans="4:5" x14ac:dyDescent="0.3">
      <c r="D821" t="s">
        <v>708</v>
      </c>
      <c r="E821" t="s">
        <v>545</v>
      </c>
    </row>
    <row r="822" spans="4:5" x14ac:dyDescent="0.3">
      <c r="D822" t="s">
        <v>652</v>
      </c>
      <c r="E822" t="s">
        <v>546</v>
      </c>
    </row>
    <row r="823" spans="4:5" x14ac:dyDescent="0.3">
      <c r="D823" t="s">
        <v>652</v>
      </c>
      <c r="E823" t="s">
        <v>546</v>
      </c>
    </row>
    <row r="824" spans="4:5" x14ac:dyDescent="0.3">
      <c r="D824" t="s">
        <v>652</v>
      </c>
      <c r="E824" t="s">
        <v>546</v>
      </c>
    </row>
    <row r="825" spans="4:5" x14ac:dyDescent="0.3">
      <c r="D825" t="s">
        <v>1221</v>
      </c>
      <c r="E825" t="s">
        <v>552</v>
      </c>
    </row>
    <row r="826" spans="4:5" x14ac:dyDescent="0.3">
      <c r="D826" t="s">
        <v>1221</v>
      </c>
      <c r="E826" t="s">
        <v>552</v>
      </c>
    </row>
    <row r="827" spans="4:5" x14ac:dyDescent="0.3">
      <c r="D827" t="s">
        <v>1221</v>
      </c>
      <c r="E827" t="s">
        <v>552</v>
      </c>
    </row>
    <row r="828" spans="4:5" x14ac:dyDescent="0.3">
      <c r="D828" t="s">
        <v>1221</v>
      </c>
      <c r="E828" t="s">
        <v>552</v>
      </c>
    </row>
    <row r="829" spans="4:5" x14ac:dyDescent="0.3">
      <c r="D829" t="s">
        <v>709</v>
      </c>
      <c r="E829" t="s">
        <v>545</v>
      </c>
    </row>
    <row r="830" spans="4:5" x14ac:dyDescent="0.3">
      <c r="D830" t="s">
        <v>709</v>
      </c>
      <c r="E830" t="s">
        <v>545</v>
      </c>
    </row>
    <row r="831" spans="4:5" x14ac:dyDescent="0.3">
      <c r="D831" t="s">
        <v>735</v>
      </c>
      <c r="E831" t="s">
        <v>547</v>
      </c>
    </row>
    <row r="832" spans="4:5" x14ac:dyDescent="0.3">
      <c r="D832" t="s">
        <v>735</v>
      </c>
      <c r="E832" t="s">
        <v>545</v>
      </c>
    </row>
    <row r="833" spans="4:5" x14ac:dyDescent="0.3">
      <c r="D833" t="s">
        <v>735</v>
      </c>
      <c r="E833" t="s">
        <v>545</v>
      </c>
    </row>
    <row r="834" spans="4:5" x14ac:dyDescent="0.3">
      <c r="D834" t="s">
        <v>735</v>
      </c>
      <c r="E834" t="s">
        <v>18</v>
      </c>
    </row>
    <row r="835" spans="4:5" x14ac:dyDescent="0.3">
      <c r="D835" t="s">
        <v>735</v>
      </c>
      <c r="E835" t="s">
        <v>545</v>
      </c>
    </row>
    <row r="836" spans="4:5" x14ac:dyDescent="0.3">
      <c r="D836" t="s">
        <v>735</v>
      </c>
      <c r="E836" t="s">
        <v>545</v>
      </c>
    </row>
    <row r="837" spans="4:5" x14ac:dyDescent="0.3">
      <c r="D837" t="s">
        <v>735</v>
      </c>
      <c r="E837" t="s">
        <v>545</v>
      </c>
    </row>
    <row r="838" spans="4:5" x14ac:dyDescent="0.3">
      <c r="D838" t="s">
        <v>735</v>
      </c>
      <c r="E838" t="s">
        <v>545</v>
      </c>
    </row>
    <row r="839" spans="4:5" x14ac:dyDescent="0.3">
      <c r="D839" t="s">
        <v>735</v>
      </c>
      <c r="E839" t="s">
        <v>547</v>
      </c>
    </row>
    <row r="840" spans="4:5" x14ac:dyDescent="0.3">
      <c r="D840" t="s">
        <v>735</v>
      </c>
      <c r="E840" t="s">
        <v>545</v>
      </c>
    </row>
    <row r="841" spans="4:5" x14ac:dyDescent="0.3">
      <c r="D841" t="s">
        <v>735</v>
      </c>
      <c r="E841" t="s">
        <v>547</v>
      </c>
    </row>
    <row r="842" spans="4:5" x14ac:dyDescent="0.3">
      <c r="D842" t="s">
        <v>735</v>
      </c>
      <c r="E842" t="s">
        <v>545</v>
      </c>
    </row>
    <row r="843" spans="4:5" x14ac:dyDescent="0.3">
      <c r="D843" t="s">
        <v>735</v>
      </c>
      <c r="E843" t="s">
        <v>545</v>
      </c>
    </row>
    <row r="844" spans="4:5" x14ac:dyDescent="0.3">
      <c r="D844" t="s">
        <v>735</v>
      </c>
      <c r="E844" t="s">
        <v>552</v>
      </c>
    </row>
    <row r="845" spans="4:5" x14ac:dyDescent="0.3">
      <c r="D845" t="s">
        <v>735</v>
      </c>
      <c r="E845" t="s">
        <v>552</v>
      </c>
    </row>
    <row r="846" spans="4:5" x14ac:dyDescent="0.3">
      <c r="D846" t="s">
        <v>735</v>
      </c>
      <c r="E846" t="s">
        <v>547</v>
      </c>
    </row>
    <row r="847" spans="4:5" x14ac:dyDescent="0.3">
      <c r="D847" t="s">
        <v>735</v>
      </c>
      <c r="E847" t="s">
        <v>545</v>
      </c>
    </row>
    <row r="848" spans="4:5" x14ac:dyDescent="0.3">
      <c r="D848" t="s">
        <v>736</v>
      </c>
      <c r="E848" t="s">
        <v>551</v>
      </c>
    </row>
    <row r="849" spans="4:5" x14ac:dyDescent="0.3">
      <c r="D849" t="s">
        <v>737</v>
      </c>
      <c r="E849" t="s">
        <v>547</v>
      </c>
    </row>
    <row r="850" spans="4:5" x14ac:dyDescent="0.3">
      <c r="D850" t="s">
        <v>737</v>
      </c>
      <c r="E850" t="s">
        <v>545</v>
      </c>
    </row>
    <row r="851" spans="4:5" x14ac:dyDescent="0.3">
      <c r="D851" t="s">
        <v>737</v>
      </c>
      <c r="E851" t="s">
        <v>545</v>
      </c>
    </row>
    <row r="852" spans="4:5" x14ac:dyDescent="0.3">
      <c r="D852" t="s">
        <v>737</v>
      </c>
      <c r="E852" t="s">
        <v>545</v>
      </c>
    </row>
    <row r="853" spans="4:5" x14ac:dyDescent="0.3">
      <c r="D853" t="s">
        <v>737</v>
      </c>
      <c r="E853" t="s">
        <v>545</v>
      </c>
    </row>
    <row r="854" spans="4:5" x14ac:dyDescent="0.3">
      <c r="D854" t="s">
        <v>738</v>
      </c>
      <c r="E854" t="s">
        <v>545</v>
      </c>
    </row>
    <row r="855" spans="4:5" x14ac:dyDescent="0.3">
      <c r="D855" t="s">
        <v>738</v>
      </c>
      <c r="E855" t="s">
        <v>545</v>
      </c>
    </row>
    <row r="856" spans="4:5" x14ac:dyDescent="0.3">
      <c r="D856" t="s">
        <v>738</v>
      </c>
      <c r="E856" t="s">
        <v>545</v>
      </c>
    </row>
    <row r="857" spans="4:5" x14ac:dyDescent="0.3">
      <c r="D857" t="s">
        <v>738</v>
      </c>
      <c r="E857" t="s">
        <v>545</v>
      </c>
    </row>
    <row r="858" spans="4:5" x14ac:dyDescent="0.3">
      <c r="D858" t="s">
        <v>738</v>
      </c>
      <c r="E858" t="s">
        <v>545</v>
      </c>
    </row>
    <row r="859" spans="4:5" x14ac:dyDescent="0.3">
      <c r="D859" t="s">
        <v>738</v>
      </c>
      <c r="E859" t="s">
        <v>545</v>
      </c>
    </row>
    <row r="860" spans="4:5" x14ac:dyDescent="0.3">
      <c r="D860" t="s">
        <v>738</v>
      </c>
      <c r="E860" t="s">
        <v>545</v>
      </c>
    </row>
    <row r="861" spans="4:5" x14ac:dyDescent="0.3">
      <c r="D861" t="s">
        <v>738</v>
      </c>
      <c r="E861" t="s">
        <v>545</v>
      </c>
    </row>
    <row r="862" spans="4:5" x14ac:dyDescent="0.3">
      <c r="D862" t="s">
        <v>738</v>
      </c>
      <c r="E862" t="s">
        <v>545</v>
      </c>
    </row>
    <row r="863" spans="4:5" x14ac:dyDescent="0.3">
      <c r="D863" t="s">
        <v>738</v>
      </c>
      <c r="E863" t="s">
        <v>545</v>
      </c>
    </row>
    <row r="864" spans="4:5" x14ac:dyDescent="0.3">
      <c r="D864" t="s">
        <v>738</v>
      </c>
      <c r="E864" t="s">
        <v>545</v>
      </c>
    </row>
    <row r="865" spans="4:5" x14ac:dyDescent="0.3">
      <c r="D865" t="s">
        <v>739</v>
      </c>
      <c r="E865" t="s">
        <v>547</v>
      </c>
    </row>
    <row r="866" spans="4:5" x14ac:dyDescent="0.3">
      <c r="D866" t="s">
        <v>739</v>
      </c>
      <c r="E866" t="s">
        <v>547</v>
      </c>
    </row>
    <row r="867" spans="4:5" x14ac:dyDescent="0.3">
      <c r="D867" t="s">
        <v>739</v>
      </c>
      <c r="E867" t="s">
        <v>545</v>
      </c>
    </row>
    <row r="868" spans="4:5" x14ac:dyDescent="0.3">
      <c r="D868" t="s">
        <v>739</v>
      </c>
      <c r="E868" t="s">
        <v>545</v>
      </c>
    </row>
    <row r="869" spans="4:5" x14ac:dyDescent="0.3">
      <c r="D869" t="s">
        <v>739</v>
      </c>
      <c r="E869" t="s">
        <v>545</v>
      </c>
    </row>
    <row r="870" spans="4:5" x14ac:dyDescent="0.3">
      <c r="D870" t="s">
        <v>739</v>
      </c>
      <c r="E870" t="s">
        <v>545</v>
      </c>
    </row>
    <row r="871" spans="4:5" x14ac:dyDescent="0.3">
      <c r="D871" t="s">
        <v>740</v>
      </c>
      <c r="E871" t="s">
        <v>547</v>
      </c>
    </row>
    <row r="872" spans="4:5" x14ac:dyDescent="0.3">
      <c r="D872" t="s">
        <v>740</v>
      </c>
      <c r="E872" t="s">
        <v>547</v>
      </c>
    </row>
    <row r="873" spans="4:5" x14ac:dyDescent="0.3">
      <c r="D873" t="s">
        <v>740</v>
      </c>
      <c r="E873" t="s">
        <v>545</v>
      </c>
    </row>
    <row r="874" spans="4:5" x14ac:dyDescent="0.3">
      <c r="D874" t="s">
        <v>740</v>
      </c>
      <c r="E874" t="s">
        <v>545</v>
      </c>
    </row>
    <row r="875" spans="4:5" x14ac:dyDescent="0.3">
      <c r="D875" t="s">
        <v>741</v>
      </c>
      <c r="E875" t="s">
        <v>545</v>
      </c>
    </row>
    <row r="876" spans="4:5" x14ac:dyDescent="0.3">
      <c r="D876" t="s">
        <v>741</v>
      </c>
      <c r="E876" t="s">
        <v>547</v>
      </c>
    </row>
    <row r="877" spans="4:5" x14ac:dyDescent="0.3">
      <c r="D877" t="s">
        <v>741</v>
      </c>
      <c r="E877" t="s">
        <v>545</v>
      </c>
    </row>
    <row r="878" spans="4:5" x14ac:dyDescent="0.3">
      <c r="D878" t="s">
        <v>741</v>
      </c>
      <c r="E878" t="s">
        <v>545</v>
      </c>
    </row>
    <row r="879" spans="4:5" x14ac:dyDescent="0.3">
      <c r="D879" t="s">
        <v>741</v>
      </c>
      <c r="E879" t="s">
        <v>547</v>
      </c>
    </row>
    <row r="880" spans="4:5" x14ac:dyDescent="0.3">
      <c r="D880" t="s">
        <v>741</v>
      </c>
      <c r="E880" t="s">
        <v>545</v>
      </c>
    </row>
    <row r="881" spans="4:5" x14ac:dyDescent="0.3">
      <c r="D881" t="s">
        <v>741</v>
      </c>
      <c r="E881" t="s">
        <v>545</v>
      </c>
    </row>
    <row r="882" spans="4:5" x14ac:dyDescent="0.3">
      <c r="D882" t="s">
        <v>741</v>
      </c>
      <c r="E882" t="s">
        <v>545</v>
      </c>
    </row>
    <row r="883" spans="4:5" x14ac:dyDescent="0.3">
      <c r="D883" t="s">
        <v>741</v>
      </c>
      <c r="E883" t="s">
        <v>545</v>
      </c>
    </row>
    <row r="884" spans="4:5" x14ac:dyDescent="0.3">
      <c r="D884" t="s">
        <v>741</v>
      </c>
      <c r="E884" t="s">
        <v>547</v>
      </c>
    </row>
    <row r="885" spans="4:5" x14ac:dyDescent="0.3">
      <c r="D885" t="s">
        <v>741</v>
      </c>
      <c r="E885" t="s">
        <v>546</v>
      </c>
    </row>
    <row r="886" spans="4:5" x14ac:dyDescent="0.3">
      <c r="D886" t="s">
        <v>742</v>
      </c>
      <c r="E886" t="s">
        <v>545</v>
      </c>
    </row>
    <row r="887" spans="4:5" x14ac:dyDescent="0.3">
      <c r="D887" t="s">
        <v>742</v>
      </c>
      <c r="E887" t="s">
        <v>545</v>
      </c>
    </row>
    <row r="888" spans="4:5" x14ac:dyDescent="0.3">
      <c r="D888" t="s">
        <v>743</v>
      </c>
      <c r="E888" t="s">
        <v>545</v>
      </c>
    </row>
    <row r="889" spans="4:5" x14ac:dyDescent="0.3">
      <c r="D889" t="s">
        <v>743</v>
      </c>
      <c r="E889" t="s">
        <v>545</v>
      </c>
    </row>
    <row r="890" spans="4:5" x14ac:dyDescent="0.3">
      <c r="D890" t="s">
        <v>743</v>
      </c>
      <c r="E890" t="s">
        <v>545</v>
      </c>
    </row>
    <row r="891" spans="4:5" x14ac:dyDescent="0.3">
      <c r="D891" t="s">
        <v>743</v>
      </c>
      <c r="E891" t="s">
        <v>545</v>
      </c>
    </row>
    <row r="892" spans="4:5" x14ac:dyDescent="0.3">
      <c r="D892" t="s">
        <v>743</v>
      </c>
      <c r="E892" t="s">
        <v>545</v>
      </c>
    </row>
    <row r="893" spans="4:5" x14ac:dyDescent="0.3">
      <c r="D893" t="s">
        <v>743</v>
      </c>
      <c r="E893" t="s">
        <v>545</v>
      </c>
    </row>
    <row r="894" spans="4:5" x14ac:dyDescent="0.3">
      <c r="D894" t="s">
        <v>743</v>
      </c>
      <c r="E894" t="s">
        <v>545</v>
      </c>
    </row>
    <row r="895" spans="4:5" x14ac:dyDescent="0.3">
      <c r="D895" t="s">
        <v>743</v>
      </c>
      <c r="E895" t="s">
        <v>545</v>
      </c>
    </row>
    <row r="896" spans="4:5" x14ac:dyDescent="0.3">
      <c r="D896" t="s">
        <v>743</v>
      </c>
      <c r="E896" t="s">
        <v>545</v>
      </c>
    </row>
    <row r="897" spans="4:5" x14ac:dyDescent="0.3">
      <c r="D897" t="s">
        <v>744</v>
      </c>
      <c r="E897" t="s">
        <v>581</v>
      </c>
    </row>
    <row r="898" spans="4:5" x14ac:dyDescent="0.3">
      <c r="D898" t="s">
        <v>744</v>
      </c>
      <c r="E898" t="s">
        <v>581</v>
      </c>
    </row>
    <row r="899" spans="4:5" x14ac:dyDescent="0.3">
      <c r="D899" t="s">
        <v>744</v>
      </c>
      <c r="E899" t="s">
        <v>581</v>
      </c>
    </row>
    <row r="900" spans="4:5" x14ac:dyDescent="0.3">
      <c r="D900" t="s">
        <v>745</v>
      </c>
      <c r="E900" t="s">
        <v>581</v>
      </c>
    </row>
    <row r="901" spans="4:5" x14ac:dyDescent="0.3">
      <c r="D901" t="s">
        <v>746</v>
      </c>
      <c r="E901" t="s">
        <v>546</v>
      </c>
    </row>
    <row r="902" spans="4:5" x14ac:dyDescent="0.3">
      <c r="D902" t="s">
        <v>746</v>
      </c>
      <c r="E902" t="s">
        <v>545</v>
      </c>
    </row>
    <row r="903" spans="4:5" x14ac:dyDescent="0.3">
      <c r="D903" t="s">
        <v>746</v>
      </c>
      <c r="E903" t="s">
        <v>545</v>
      </c>
    </row>
    <row r="904" spans="4:5" x14ac:dyDescent="0.3">
      <c r="D904" t="s">
        <v>746</v>
      </c>
      <c r="E904" t="s">
        <v>545</v>
      </c>
    </row>
    <row r="905" spans="4:5" x14ac:dyDescent="0.3">
      <c r="D905" t="s">
        <v>746</v>
      </c>
      <c r="E905" t="s">
        <v>547</v>
      </c>
    </row>
    <row r="906" spans="4:5" x14ac:dyDescent="0.3">
      <c r="D906" t="s">
        <v>746</v>
      </c>
      <c r="E906" t="s">
        <v>545</v>
      </c>
    </row>
    <row r="907" spans="4:5" x14ac:dyDescent="0.3">
      <c r="D907" t="s">
        <v>746</v>
      </c>
      <c r="E907" t="s">
        <v>546</v>
      </c>
    </row>
    <row r="908" spans="4:5" x14ac:dyDescent="0.3">
      <c r="D908" t="s">
        <v>746</v>
      </c>
      <c r="E908" t="s">
        <v>552</v>
      </c>
    </row>
    <row r="909" spans="4:5" x14ac:dyDescent="0.3">
      <c r="D909" t="s">
        <v>747</v>
      </c>
      <c r="E909" t="s">
        <v>547</v>
      </c>
    </row>
    <row r="910" spans="4:5" x14ac:dyDescent="0.3">
      <c r="D910" t="s">
        <v>747</v>
      </c>
      <c r="E910" t="s">
        <v>547</v>
      </c>
    </row>
    <row r="911" spans="4:5" x14ac:dyDescent="0.3">
      <c r="D911" t="s">
        <v>747</v>
      </c>
      <c r="E911" t="s">
        <v>545</v>
      </c>
    </row>
    <row r="912" spans="4:5" x14ac:dyDescent="0.3">
      <c r="D912" t="s">
        <v>747</v>
      </c>
      <c r="E912" t="s">
        <v>547</v>
      </c>
    </row>
    <row r="913" spans="4:5" x14ac:dyDescent="0.3">
      <c r="D913" t="s">
        <v>747</v>
      </c>
      <c r="E913" t="s">
        <v>545</v>
      </c>
    </row>
    <row r="914" spans="4:5" x14ac:dyDescent="0.3">
      <c r="D914" t="s">
        <v>747</v>
      </c>
      <c r="E914" t="s">
        <v>545</v>
      </c>
    </row>
    <row r="915" spans="4:5" x14ac:dyDescent="0.3">
      <c r="D915" t="s">
        <v>747</v>
      </c>
      <c r="E915" t="s">
        <v>547</v>
      </c>
    </row>
    <row r="916" spans="4:5" x14ac:dyDescent="0.3">
      <c r="D916" t="s">
        <v>748</v>
      </c>
      <c r="E916" t="s">
        <v>581</v>
      </c>
    </row>
    <row r="917" spans="4:5" x14ac:dyDescent="0.3">
      <c r="D917" t="s">
        <v>749</v>
      </c>
      <c r="E917" t="s">
        <v>581</v>
      </c>
    </row>
    <row r="918" spans="4:5" x14ac:dyDescent="0.3">
      <c r="D918" t="s">
        <v>750</v>
      </c>
      <c r="E918" t="s">
        <v>581</v>
      </c>
    </row>
    <row r="919" spans="4:5" x14ac:dyDescent="0.3">
      <c r="D919" t="s">
        <v>750</v>
      </c>
      <c r="E919" t="s">
        <v>581</v>
      </c>
    </row>
    <row r="920" spans="4:5" x14ac:dyDescent="0.3">
      <c r="D920" t="s">
        <v>750</v>
      </c>
      <c r="E920" t="s">
        <v>581</v>
      </c>
    </row>
    <row r="921" spans="4:5" x14ac:dyDescent="0.3">
      <c r="D921" t="s">
        <v>751</v>
      </c>
      <c r="E921" t="s">
        <v>547</v>
      </c>
    </row>
    <row r="922" spans="4:5" x14ac:dyDescent="0.3">
      <c r="D922" t="s">
        <v>751</v>
      </c>
      <c r="E922" t="s">
        <v>547</v>
      </c>
    </row>
    <row r="923" spans="4:5" x14ac:dyDescent="0.3">
      <c r="D923" t="s">
        <v>1006</v>
      </c>
      <c r="E923" t="s">
        <v>547</v>
      </c>
    </row>
    <row r="924" spans="4:5" x14ac:dyDescent="0.3">
      <c r="D924" t="s">
        <v>752</v>
      </c>
      <c r="E924" t="s">
        <v>546</v>
      </c>
    </row>
    <row r="925" spans="4:5" x14ac:dyDescent="0.3">
      <c r="D925" t="s">
        <v>752</v>
      </c>
      <c r="E925" t="s">
        <v>546</v>
      </c>
    </row>
    <row r="926" spans="4:5" x14ac:dyDescent="0.3">
      <c r="D926" t="s">
        <v>1006</v>
      </c>
      <c r="E926" t="s">
        <v>547</v>
      </c>
    </row>
    <row r="927" spans="4:5" x14ac:dyDescent="0.3">
      <c r="D927" t="s">
        <v>986</v>
      </c>
      <c r="E927" t="s">
        <v>547</v>
      </c>
    </row>
    <row r="928" spans="4:5" x14ac:dyDescent="0.3">
      <c r="D928" t="s">
        <v>986</v>
      </c>
      <c r="E928" t="s">
        <v>545</v>
      </c>
    </row>
    <row r="929" spans="4:5" x14ac:dyDescent="0.3">
      <c r="D929" t="s">
        <v>986</v>
      </c>
      <c r="E929" t="s">
        <v>547</v>
      </c>
    </row>
    <row r="930" spans="4:5" x14ac:dyDescent="0.3">
      <c r="D930" t="s">
        <v>986</v>
      </c>
      <c r="E930" t="s">
        <v>552</v>
      </c>
    </row>
    <row r="931" spans="4:5" x14ac:dyDescent="0.3">
      <c r="D931" t="s">
        <v>987</v>
      </c>
      <c r="E931" t="s">
        <v>581</v>
      </c>
    </row>
    <row r="932" spans="4:5" x14ac:dyDescent="0.3">
      <c r="D932" t="s">
        <v>987</v>
      </c>
      <c r="E932" t="s">
        <v>581</v>
      </c>
    </row>
    <row r="933" spans="4:5" x14ac:dyDescent="0.3">
      <c r="D933" t="s">
        <v>987</v>
      </c>
      <c r="E933" t="s">
        <v>581</v>
      </c>
    </row>
    <row r="934" spans="4:5" x14ac:dyDescent="0.3">
      <c r="D934" t="s">
        <v>987</v>
      </c>
      <c r="E934" t="s">
        <v>581</v>
      </c>
    </row>
    <row r="935" spans="4:5" x14ac:dyDescent="0.3">
      <c r="D935" t="s">
        <v>987</v>
      </c>
      <c r="E935" t="s">
        <v>581</v>
      </c>
    </row>
    <row r="936" spans="4:5" x14ac:dyDescent="0.3">
      <c r="D936" t="s">
        <v>987</v>
      </c>
      <c r="E936" t="s">
        <v>546</v>
      </c>
    </row>
    <row r="937" spans="4:5" x14ac:dyDescent="0.3">
      <c r="D937" t="s">
        <v>987</v>
      </c>
      <c r="E937" t="s">
        <v>546</v>
      </c>
    </row>
    <row r="938" spans="4:5" x14ac:dyDescent="0.3">
      <c r="D938" t="s">
        <v>990</v>
      </c>
      <c r="E938" t="s">
        <v>545</v>
      </c>
    </row>
    <row r="939" spans="4:5" x14ac:dyDescent="0.3">
      <c r="D939" t="s">
        <v>991</v>
      </c>
      <c r="E939" t="s">
        <v>545</v>
      </c>
    </row>
    <row r="940" spans="4:5" x14ac:dyDescent="0.3">
      <c r="D940" t="s">
        <v>991</v>
      </c>
      <c r="E940" t="s">
        <v>545</v>
      </c>
    </row>
    <row r="941" spans="4:5" x14ac:dyDescent="0.3">
      <c r="D941" t="s">
        <v>992</v>
      </c>
      <c r="E941" t="s">
        <v>545</v>
      </c>
    </row>
    <row r="942" spans="4:5" x14ac:dyDescent="0.3">
      <c r="D942" t="s">
        <v>993</v>
      </c>
      <c r="E942" t="s">
        <v>547</v>
      </c>
    </row>
    <row r="943" spans="4:5" x14ac:dyDescent="0.3">
      <c r="D943" t="s">
        <v>993</v>
      </c>
      <c r="E943" t="s">
        <v>545</v>
      </c>
    </row>
    <row r="944" spans="4:5" x14ac:dyDescent="0.3">
      <c r="D944" t="s">
        <v>993</v>
      </c>
      <c r="E944" t="s">
        <v>545</v>
      </c>
    </row>
    <row r="945" spans="4:5" x14ac:dyDescent="0.3">
      <c r="D945" t="s">
        <v>993</v>
      </c>
      <c r="E945" t="s">
        <v>545</v>
      </c>
    </row>
    <row r="946" spans="4:5" x14ac:dyDescent="0.3">
      <c r="D946" t="s">
        <v>993</v>
      </c>
      <c r="E946" t="s">
        <v>545</v>
      </c>
    </row>
    <row r="947" spans="4:5" x14ac:dyDescent="0.3">
      <c r="D947" t="s">
        <v>993</v>
      </c>
      <c r="E947" t="s">
        <v>547</v>
      </c>
    </row>
    <row r="948" spans="4:5" x14ac:dyDescent="0.3">
      <c r="D948" t="s">
        <v>994</v>
      </c>
      <c r="E948" t="s">
        <v>547</v>
      </c>
    </row>
    <row r="949" spans="4:5" x14ac:dyDescent="0.3">
      <c r="D949" t="s">
        <v>994</v>
      </c>
      <c r="E949" t="s">
        <v>545</v>
      </c>
    </row>
    <row r="950" spans="4:5" x14ac:dyDescent="0.3">
      <c r="D950" t="s">
        <v>994</v>
      </c>
      <c r="E950" t="s">
        <v>547</v>
      </c>
    </row>
    <row r="951" spans="4:5" x14ac:dyDescent="0.3">
      <c r="D951" t="s">
        <v>994</v>
      </c>
      <c r="E951" t="s">
        <v>545</v>
      </c>
    </row>
    <row r="952" spans="4:5" x14ac:dyDescent="0.3">
      <c r="D952" t="s">
        <v>994</v>
      </c>
      <c r="E952" t="s">
        <v>545</v>
      </c>
    </row>
    <row r="953" spans="4:5" x14ac:dyDescent="0.3">
      <c r="D953" t="s">
        <v>994</v>
      </c>
      <c r="E953" t="s">
        <v>545</v>
      </c>
    </row>
    <row r="954" spans="4:5" x14ac:dyDescent="0.3">
      <c r="D954" t="s">
        <v>994</v>
      </c>
      <c r="E954" t="s">
        <v>545</v>
      </c>
    </row>
    <row r="955" spans="4:5" x14ac:dyDescent="0.3">
      <c r="D955" t="s">
        <v>994</v>
      </c>
      <c r="E955" t="s">
        <v>547</v>
      </c>
    </row>
    <row r="956" spans="4:5" x14ac:dyDescent="0.3">
      <c r="D956" t="s">
        <v>994</v>
      </c>
      <c r="E956" t="s">
        <v>545</v>
      </c>
    </row>
    <row r="957" spans="4:5" x14ac:dyDescent="0.3">
      <c r="D957" t="s">
        <v>994</v>
      </c>
      <c r="E957" t="s">
        <v>547</v>
      </c>
    </row>
    <row r="958" spans="4:5" x14ac:dyDescent="0.3">
      <c r="D958" t="s">
        <v>994</v>
      </c>
      <c r="E958" t="s">
        <v>545</v>
      </c>
    </row>
    <row r="959" spans="4:5" x14ac:dyDescent="0.3">
      <c r="D959" t="s">
        <v>995</v>
      </c>
      <c r="E959" t="s">
        <v>547</v>
      </c>
    </row>
    <row r="960" spans="4:5" x14ac:dyDescent="0.3">
      <c r="D960" t="s">
        <v>995</v>
      </c>
      <c r="E960" t="s">
        <v>545</v>
      </c>
    </row>
    <row r="961" spans="4:5" x14ac:dyDescent="0.3">
      <c r="D961" t="s">
        <v>995</v>
      </c>
      <c r="E961" t="s">
        <v>545</v>
      </c>
    </row>
    <row r="962" spans="4:5" x14ac:dyDescent="0.3">
      <c r="D962" t="s">
        <v>995</v>
      </c>
      <c r="E962" t="s">
        <v>545</v>
      </c>
    </row>
    <row r="963" spans="4:5" x14ac:dyDescent="0.3">
      <c r="D963" t="s">
        <v>995</v>
      </c>
      <c r="E963" t="s">
        <v>545</v>
      </c>
    </row>
    <row r="964" spans="4:5" x14ac:dyDescent="0.3">
      <c r="D964" t="s">
        <v>995</v>
      </c>
      <c r="E964" t="s">
        <v>547</v>
      </c>
    </row>
    <row r="965" spans="4:5" x14ac:dyDescent="0.3">
      <c r="D965" t="s">
        <v>996</v>
      </c>
      <c r="E965" t="s">
        <v>545</v>
      </c>
    </row>
    <row r="966" spans="4:5" x14ac:dyDescent="0.3">
      <c r="D966" t="s">
        <v>996</v>
      </c>
      <c r="E966" t="s">
        <v>545</v>
      </c>
    </row>
    <row r="967" spans="4:5" x14ac:dyDescent="0.3">
      <c r="D967" t="s">
        <v>997</v>
      </c>
      <c r="E967" t="s">
        <v>545</v>
      </c>
    </row>
    <row r="968" spans="4:5" x14ac:dyDescent="0.3">
      <c r="D968" t="s">
        <v>997</v>
      </c>
      <c r="E968" t="s">
        <v>545</v>
      </c>
    </row>
    <row r="969" spans="4:5" x14ac:dyDescent="0.3">
      <c r="D969" t="s">
        <v>998</v>
      </c>
      <c r="E969" t="s">
        <v>545</v>
      </c>
    </row>
    <row r="970" spans="4:5" x14ac:dyDescent="0.3">
      <c r="D970" t="s">
        <v>998</v>
      </c>
      <c r="E970" t="s">
        <v>545</v>
      </c>
    </row>
    <row r="971" spans="4:5" x14ac:dyDescent="0.3">
      <c r="D971" t="s">
        <v>998</v>
      </c>
      <c r="E971" t="s">
        <v>545</v>
      </c>
    </row>
    <row r="972" spans="4:5" x14ac:dyDescent="0.3">
      <c r="D972" t="s">
        <v>998</v>
      </c>
      <c r="E972" t="s">
        <v>545</v>
      </c>
    </row>
    <row r="973" spans="4:5" x14ac:dyDescent="0.3">
      <c r="D973" t="s">
        <v>998</v>
      </c>
      <c r="E973" t="s">
        <v>545</v>
      </c>
    </row>
    <row r="974" spans="4:5" x14ac:dyDescent="0.3">
      <c r="D974" t="s">
        <v>998</v>
      </c>
      <c r="E974" t="s">
        <v>545</v>
      </c>
    </row>
    <row r="975" spans="4:5" x14ac:dyDescent="0.3">
      <c r="D975" t="s">
        <v>999</v>
      </c>
      <c r="E975" t="s">
        <v>547</v>
      </c>
    </row>
    <row r="976" spans="4:5" x14ac:dyDescent="0.3">
      <c r="D976" t="s">
        <v>999</v>
      </c>
      <c r="E976" t="s">
        <v>547</v>
      </c>
    </row>
    <row r="977" spans="4:5" x14ac:dyDescent="0.3">
      <c r="D977" t="s">
        <v>999</v>
      </c>
      <c r="E977" t="s">
        <v>547</v>
      </c>
    </row>
    <row r="978" spans="4:5" x14ac:dyDescent="0.3">
      <c r="D978" t="s">
        <v>999</v>
      </c>
      <c r="E978" t="s">
        <v>547</v>
      </c>
    </row>
    <row r="979" spans="4:5" x14ac:dyDescent="0.3">
      <c r="D979" t="s">
        <v>999</v>
      </c>
      <c r="E979" t="s">
        <v>545</v>
      </c>
    </row>
    <row r="980" spans="4:5" x14ac:dyDescent="0.3">
      <c r="D980" t="s">
        <v>999</v>
      </c>
      <c r="E980" t="s">
        <v>545</v>
      </c>
    </row>
    <row r="981" spans="4:5" x14ac:dyDescent="0.3">
      <c r="D981" t="s">
        <v>1002</v>
      </c>
      <c r="E981" t="s">
        <v>549</v>
      </c>
    </row>
    <row r="982" spans="4:5" x14ac:dyDescent="0.3">
      <c r="D982" t="s">
        <v>1002</v>
      </c>
      <c r="E982" t="s">
        <v>549</v>
      </c>
    </row>
    <row r="983" spans="4:5" x14ac:dyDescent="0.3">
      <c r="D983" t="s">
        <v>1002</v>
      </c>
      <c r="E983" t="s">
        <v>549</v>
      </c>
    </row>
    <row r="984" spans="4:5" x14ac:dyDescent="0.3">
      <c r="D984" t="s">
        <v>1002</v>
      </c>
      <c r="E984" t="s">
        <v>549</v>
      </c>
    </row>
    <row r="985" spans="4:5" x14ac:dyDescent="0.3">
      <c r="D985" t="s">
        <v>1002</v>
      </c>
      <c r="E985" t="s">
        <v>549</v>
      </c>
    </row>
    <row r="986" spans="4:5" x14ac:dyDescent="0.3">
      <c r="D986" t="s">
        <v>1002</v>
      </c>
      <c r="E986" t="s">
        <v>549</v>
      </c>
    </row>
    <row r="987" spans="4:5" x14ac:dyDescent="0.3">
      <c r="D987" t="s">
        <v>1002</v>
      </c>
      <c r="E987" t="s">
        <v>549</v>
      </c>
    </row>
    <row r="988" spans="4:5" x14ac:dyDescent="0.3">
      <c r="D988" t="s">
        <v>1002</v>
      </c>
      <c r="E988" t="s">
        <v>549</v>
      </c>
    </row>
    <row r="989" spans="4:5" x14ac:dyDescent="0.3">
      <c r="D989" t="s">
        <v>1002</v>
      </c>
      <c r="E989" t="s">
        <v>549</v>
      </c>
    </row>
    <row r="990" spans="4:5" x14ac:dyDescent="0.3">
      <c r="D990" t="s">
        <v>1002</v>
      </c>
      <c r="E990" t="s">
        <v>549</v>
      </c>
    </row>
    <row r="991" spans="4:5" x14ac:dyDescent="0.3">
      <c r="D991" t="s">
        <v>1002</v>
      </c>
      <c r="E991" t="s">
        <v>549</v>
      </c>
    </row>
    <row r="992" spans="4:5" x14ac:dyDescent="0.3">
      <c r="D992" t="s">
        <v>1002</v>
      </c>
      <c r="E992" t="s">
        <v>549</v>
      </c>
    </row>
    <row r="993" spans="4:5" x14ac:dyDescent="0.3">
      <c r="D993" t="s">
        <v>1002</v>
      </c>
      <c r="E993" t="s">
        <v>549</v>
      </c>
    </row>
    <row r="994" spans="4:5" x14ac:dyDescent="0.3">
      <c r="D994" t="s">
        <v>1002</v>
      </c>
      <c r="E994" t="s">
        <v>549</v>
      </c>
    </row>
    <row r="995" spans="4:5" x14ac:dyDescent="0.3">
      <c r="D995" t="s">
        <v>1002</v>
      </c>
      <c r="E995" t="s">
        <v>549</v>
      </c>
    </row>
    <row r="996" spans="4:5" x14ac:dyDescent="0.3">
      <c r="D996" t="s">
        <v>1003</v>
      </c>
      <c r="E996" t="s">
        <v>553</v>
      </c>
    </row>
    <row r="997" spans="4:5" x14ac:dyDescent="0.3">
      <c r="D997" t="s">
        <v>1003</v>
      </c>
      <c r="E997" t="s">
        <v>553</v>
      </c>
    </row>
    <row r="998" spans="4:5" x14ac:dyDescent="0.3">
      <c r="D998" t="s">
        <v>1004</v>
      </c>
      <c r="E998" t="s">
        <v>547</v>
      </c>
    </row>
    <row r="999" spans="4:5" x14ac:dyDescent="0.3">
      <c r="D999" t="s">
        <v>1004</v>
      </c>
      <c r="E999" t="s">
        <v>547</v>
      </c>
    </row>
    <row r="1000" spans="4:5" x14ac:dyDescent="0.3">
      <c r="D1000" t="s">
        <v>1004</v>
      </c>
      <c r="E1000" t="s">
        <v>552</v>
      </c>
    </row>
    <row r="1001" spans="4:5" x14ac:dyDescent="0.3">
      <c r="D1001" t="s">
        <v>1004</v>
      </c>
      <c r="E1001" t="s">
        <v>552</v>
      </c>
    </row>
    <row r="1002" spans="4:5" x14ac:dyDescent="0.3">
      <c r="D1002" t="s">
        <v>1004</v>
      </c>
      <c r="E1002" t="s">
        <v>553</v>
      </c>
    </row>
    <row r="1003" spans="4:5" x14ac:dyDescent="0.3">
      <c r="D1003" t="s">
        <v>1004</v>
      </c>
      <c r="E1003" t="s">
        <v>552</v>
      </c>
    </row>
    <row r="1004" spans="4:5" x14ac:dyDescent="0.3">
      <c r="D1004" t="s">
        <v>1005</v>
      </c>
      <c r="E1004" t="s">
        <v>546</v>
      </c>
    </row>
    <row r="1005" spans="4:5" x14ac:dyDescent="0.3">
      <c r="D1005" t="s">
        <v>1005</v>
      </c>
      <c r="E1005" t="s">
        <v>552</v>
      </c>
    </row>
    <row r="1006" spans="4:5" x14ac:dyDescent="0.3">
      <c r="D1006" t="s">
        <v>1005</v>
      </c>
      <c r="E1006" t="s">
        <v>546</v>
      </c>
    </row>
    <row r="1007" spans="4:5" x14ac:dyDescent="0.3">
      <c r="D1007" t="s">
        <v>1005</v>
      </c>
      <c r="E1007" t="s">
        <v>547</v>
      </c>
    </row>
    <row r="1008" spans="4:5" x14ac:dyDescent="0.3">
      <c r="D1008" t="s">
        <v>1005</v>
      </c>
      <c r="E1008" t="s">
        <v>552</v>
      </c>
    </row>
    <row r="1009" spans="4:5" x14ac:dyDescent="0.3">
      <c r="D1009" t="s">
        <v>1005</v>
      </c>
      <c r="E1009" t="s">
        <v>547</v>
      </c>
    </row>
    <row r="1010" spans="4:5" x14ac:dyDescent="0.3">
      <c r="D1010" t="s">
        <v>1005</v>
      </c>
      <c r="E1010" t="s">
        <v>552</v>
      </c>
    </row>
    <row r="1011" spans="4:5" x14ac:dyDescent="0.3">
      <c r="D1011" t="s">
        <v>1005</v>
      </c>
      <c r="E1011" t="s">
        <v>552</v>
      </c>
    </row>
    <row r="1012" spans="4:5" x14ac:dyDescent="0.3">
      <c r="D1012" t="s">
        <v>1007</v>
      </c>
      <c r="E1012" t="s">
        <v>549</v>
      </c>
    </row>
    <row r="1013" spans="4:5" x14ac:dyDescent="0.3">
      <c r="D1013" t="s">
        <v>1007</v>
      </c>
      <c r="E1013" t="s">
        <v>549</v>
      </c>
    </row>
    <row r="1014" spans="4:5" x14ac:dyDescent="0.3">
      <c r="D1014" t="s">
        <v>1008</v>
      </c>
      <c r="E1014" t="s">
        <v>549</v>
      </c>
    </row>
    <row r="1015" spans="4:5" x14ac:dyDescent="0.3">
      <c r="D1015" t="s">
        <v>1008</v>
      </c>
      <c r="E1015" t="s">
        <v>549</v>
      </c>
    </row>
    <row r="1016" spans="4:5" x14ac:dyDescent="0.3">
      <c r="D1016" t="s">
        <v>1008</v>
      </c>
      <c r="E1016" t="s">
        <v>549</v>
      </c>
    </row>
    <row r="1017" spans="4:5" x14ac:dyDescent="0.3">
      <c r="D1017" t="s">
        <v>1008</v>
      </c>
      <c r="E1017" t="s">
        <v>549</v>
      </c>
    </row>
    <row r="1018" spans="4:5" x14ac:dyDescent="0.3">
      <c r="D1018" t="s">
        <v>1047</v>
      </c>
      <c r="E1018" t="s">
        <v>545</v>
      </c>
    </row>
    <row r="1019" spans="4:5" x14ac:dyDescent="0.3">
      <c r="D1019" t="s">
        <v>1047</v>
      </c>
      <c r="E1019" t="s">
        <v>545</v>
      </c>
    </row>
    <row r="1020" spans="4:5" x14ac:dyDescent="0.3">
      <c r="D1020" t="s">
        <v>1047</v>
      </c>
      <c r="E1020" t="s">
        <v>545</v>
      </c>
    </row>
    <row r="1021" spans="4:5" x14ac:dyDescent="0.3">
      <c r="D1021" t="s">
        <v>1009</v>
      </c>
      <c r="E1021" t="s">
        <v>546</v>
      </c>
    </row>
    <row r="1022" spans="4:5" x14ac:dyDescent="0.3">
      <c r="D1022" t="s">
        <v>1009</v>
      </c>
      <c r="E1022" t="s">
        <v>546</v>
      </c>
    </row>
    <row r="1023" spans="4:5" x14ac:dyDescent="0.3">
      <c r="D1023" t="s">
        <v>1009</v>
      </c>
      <c r="E1023" t="s">
        <v>546</v>
      </c>
    </row>
    <row r="1024" spans="4:5" x14ac:dyDescent="0.3">
      <c r="D1024" t="s">
        <v>1009</v>
      </c>
      <c r="E1024" t="s">
        <v>546</v>
      </c>
    </row>
    <row r="1025" spans="4:5" x14ac:dyDescent="0.3">
      <c r="D1025" t="s">
        <v>1011</v>
      </c>
      <c r="E1025" t="s">
        <v>549</v>
      </c>
    </row>
    <row r="1026" spans="4:5" x14ac:dyDescent="0.3">
      <c r="D1026" t="s">
        <v>1011</v>
      </c>
      <c r="E1026" t="s">
        <v>549</v>
      </c>
    </row>
    <row r="1027" spans="4:5" x14ac:dyDescent="0.3">
      <c r="D1027" t="s">
        <v>1048</v>
      </c>
      <c r="E1027" t="s">
        <v>546</v>
      </c>
    </row>
    <row r="1028" spans="4:5" x14ac:dyDescent="0.3">
      <c r="D1028" t="s">
        <v>1048</v>
      </c>
      <c r="E1028" t="s">
        <v>546</v>
      </c>
    </row>
    <row r="1029" spans="4:5" x14ac:dyDescent="0.3">
      <c r="D1029" t="s">
        <v>1048</v>
      </c>
      <c r="E1029" t="s">
        <v>552</v>
      </c>
    </row>
    <row r="1030" spans="4:5" x14ac:dyDescent="0.3">
      <c r="D1030" t="s">
        <v>1048</v>
      </c>
      <c r="E1030" t="s">
        <v>546</v>
      </c>
    </row>
    <row r="1031" spans="4:5" x14ac:dyDescent="0.3">
      <c r="D1031" t="s">
        <v>1041</v>
      </c>
      <c r="E1031" t="s">
        <v>554</v>
      </c>
    </row>
    <row r="1032" spans="4:5" x14ac:dyDescent="0.3">
      <c r="D1032" t="s">
        <v>1041</v>
      </c>
      <c r="E1032" t="s">
        <v>545</v>
      </c>
    </row>
    <row r="1033" spans="4:5" x14ac:dyDescent="0.3">
      <c r="D1033" t="s">
        <v>1042</v>
      </c>
      <c r="E1033" t="s">
        <v>553</v>
      </c>
    </row>
    <row r="1034" spans="4:5" x14ac:dyDescent="0.3">
      <c r="D1034" t="s">
        <v>1042</v>
      </c>
      <c r="E1034" t="s">
        <v>553</v>
      </c>
    </row>
    <row r="1035" spans="4:5" x14ac:dyDescent="0.3">
      <c r="D1035" t="s">
        <v>1044</v>
      </c>
      <c r="E1035" t="s">
        <v>546</v>
      </c>
    </row>
    <row r="1036" spans="4:5" x14ac:dyDescent="0.3">
      <c r="D1036" t="s">
        <v>1044</v>
      </c>
      <c r="E1036" t="s">
        <v>546</v>
      </c>
    </row>
    <row r="1037" spans="4:5" x14ac:dyDescent="0.3">
      <c r="D1037" t="s">
        <v>1044</v>
      </c>
      <c r="E1037">
        <v>0</v>
      </c>
    </row>
    <row r="1038" spans="4:5" x14ac:dyDescent="0.3">
      <c r="D1038" t="s">
        <v>1044</v>
      </c>
      <c r="E1038" t="s">
        <v>552</v>
      </c>
    </row>
    <row r="1039" spans="4:5" x14ac:dyDescent="0.3">
      <c r="D1039" t="s">
        <v>1044</v>
      </c>
      <c r="E1039" t="s">
        <v>552</v>
      </c>
    </row>
    <row r="1040" spans="4:5" x14ac:dyDescent="0.3">
      <c r="D1040" t="s">
        <v>1045</v>
      </c>
      <c r="E1040" t="s">
        <v>546</v>
      </c>
    </row>
    <row r="1041" spans="4:5" x14ac:dyDescent="0.3">
      <c r="D1041" t="s">
        <v>1045</v>
      </c>
      <c r="E1041" t="s">
        <v>546</v>
      </c>
    </row>
    <row r="1042" spans="4:5" x14ac:dyDescent="0.3">
      <c r="D1042" t="s">
        <v>1045</v>
      </c>
      <c r="E1042" t="s">
        <v>546</v>
      </c>
    </row>
    <row r="1043" spans="4:5" x14ac:dyDescent="0.3">
      <c r="D1043" t="s">
        <v>1045</v>
      </c>
      <c r="E1043" t="s">
        <v>552</v>
      </c>
    </row>
    <row r="1044" spans="4:5" x14ac:dyDescent="0.3">
      <c r="D1044" t="s">
        <v>1045</v>
      </c>
      <c r="E1044" t="s">
        <v>552</v>
      </c>
    </row>
    <row r="1045" spans="4:5" x14ac:dyDescent="0.3">
      <c r="D1045" t="s">
        <v>1049</v>
      </c>
      <c r="E1045" t="s">
        <v>546</v>
      </c>
    </row>
    <row r="1046" spans="4:5" x14ac:dyDescent="0.3">
      <c r="D1046" t="s">
        <v>1049</v>
      </c>
      <c r="E1046" t="s">
        <v>546</v>
      </c>
    </row>
    <row r="1047" spans="4:5" x14ac:dyDescent="0.3">
      <c r="D1047" t="s">
        <v>1049</v>
      </c>
      <c r="E1047" t="s">
        <v>552</v>
      </c>
    </row>
    <row r="1048" spans="4:5" x14ac:dyDescent="0.3">
      <c r="D1048" t="s">
        <v>1049</v>
      </c>
      <c r="E1048" t="s">
        <v>552</v>
      </c>
    </row>
    <row r="1049" spans="4:5" x14ac:dyDescent="0.3">
      <c r="D1049" t="s">
        <v>1049</v>
      </c>
      <c r="E1049" t="s">
        <v>552</v>
      </c>
    </row>
    <row r="1050" spans="4:5" x14ac:dyDescent="0.3">
      <c r="D1050" t="s">
        <v>1049</v>
      </c>
      <c r="E1050" t="s">
        <v>552</v>
      </c>
    </row>
    <row r="1051" spans="4:5" x14ac:dyDescent="0.3">
      <c r="D1051" t="s">
        <v>1055</v>
      </c>
      <c r="E1051" t="s">
        <v>549</v>
      </c>
    </row>
    <row r="1052" spans="4:5" x14ac:dyDescent="0.3">
      <c r="D1052" t="s">
        <v>1056</v>
      </c>
      <c r="E1052" t="s">
        <v>546</v>
      </c>
    </row>
    <row r="1053" spans="4:5" x14ac:dyDescent="0.3">
      <c r="D1053" t="s">
        <v>1056</v>
      </c>
      <c r="E1053" t="s">
        <v>546</v>
      </c>
    </row>
    <row r="1054" spans="4:5" x14ac:dyDescent="0.3">
      <c r="D1054" t="s">
        <v>1056</v>
      </c>
      <c r="E1054" t="s">
        <v>546</v>
      </c>
    </row>
    <row r="1055" spans="4:5" x14ac:dyDescent="0.3">
      <c r="D1055" t="s">
        <v>1057</v>
      </c>
      <c r="E1055" t="s">
        <v>554</v>
      </c>
    </row>
    <row r="1056" spans="4:5" x14ac:dyDescent="0.3">
      <c r="D1056" t="s">
        <v>1057</v>
      </c>
      <c r="E1056" t="s">
        <v>554</v>
      </c>
    </row>
    <row r="1057" spans="4:5" x14ac:dyDescent="0.3">
      <c r="D1057" t="s">
        <v>1057</v>
      </c>
      <c r="E1057" t="s">
        <v>554</v>
      </c>
    </row>
    <row r="1058" spans="4:5" x14ac:dyDescent="0.3">
      <c r="D1058" t="s">
        <v>1057</v>
      </c>
      <c r="E1058" t="s">
        <v>554</v>
      </c>
    </row>
    <row r="1059" spans="4:5" x14ac:dyDescent="0.3">
      <c r="D1059" t="s">
        <v>1057</v>
      </c>
      <c r="E1059" t="s">
        <v>554</v>
      </c>
    </row>
    <row r="1060" spans="4:5" x14ac:dyDescent="0.3">
      <c r="D1060" t="s">
        <v>1057</v>
      </c>
      <c r="E1060" t="s">
        <v>552</v>
      </c>
    </row>
    <row r="1061" spans="4:5" x14ac:dyDescent="0.3">
      <c r="D1061" t="s">
        <v>1057</v>
      </c>
      <c r="E1061" t="s">
        <v>552</v>
      </c>
    </row>
    <row r="1062" spans="4:5" x14ac:dyDescent="0.3">
      <c r="D1062" t="s">
        <v>1057</v>
      </c>
      <c r="E1062" t="s">
        <v>554</v>
      </c>
    </row>
    <row r="1063" spans="4:5" x14ac:dyDescent="0.3">
      <c r="D1063" t="s">
        <v>1057</v>
      </c>
      <c r="E1063" t="s">
        <v>552</v>
      </c>
    </row>
    <row r="1064" spans="4:5" x14ac:dyDescent="0.3">
      <c r="D1064" t="s">
        <v>1057</v>
      </c>
      <c r="E1064" t="s">
        <v>554</v>
      </c>
    </row>
    <row r="1065" spans="4:5" x14ac:dyDescent="0.3">
      <c r="D1065" t="s">
        <v>1057</v>
      </c>
      <c r="E1065" t="s">
        <v>554</v>
      </c>
    </row>
    <row r="1066" spans="4:5" x14ac:dyDescent="0.3">
      <c r="D1066" t="s">
        <v>1057</v>
      </c>
      <c r="E1066" t="s">
        <v>552</v>
      </c>
    </row>
    <row r="1067" spans="4:5" x14ac:dyDescent="0.3">
      <c r="D1067" t="s">
        <v>1058</v>
      </c>
      <c r="E1067" t="s">
        <v>547</v>
      </c>
    </row>
    <row r="1068" spans="4:5" x14ac:dyDescent="0.3">
      <c r="D1068" t="s">
        <v>1058</v>
      </c>
      <c r="E1068" t="s">
        <v>547</v>
      </c>
    </row>
    <row r="1069" spans="4:5" x14ac:dyDescent="0.3">
      <c r="D1069" t="s">
        <v>1058</v>
      </c>
      <c r="E1069" t="s">
        <v>552</v>
      </c>
    </row>
    <row r="1070" spans="4:5" x14ac:dyDescent="0.3">
      <c r="D1070" t="s">
        <v>1058</v>
      </c>
      <c r="E1070" t="s">
        <v>547</v>
      </c>
    </row>
    <row r="1071" spans="4:5" x14ac:dyDescent="0.3">
      <c r="D1071" t="s">
        <v>1058</v>
      </c>
      <c r="E1071" t="s">
        <v>545</v>
      </c>
    </row>
    <row r="1072" spans="4:5" x14ac:dyDescent="0.3">
      <c r="D1072" t="s">
        <v>1058</v>
      </c>
      <c r="E1072" t="s">
        <v>552</v>
      </c>
    </row>
    <row r="1073" spans="4:5" x14ac:dyDescent="0.3">
      <c r="D1073" t="s">
        <v>1058</v>
      </c>
      <c r="E1073" t="s">
        <v>545</v>
      </c>
    </row>
    <row r="1074" spans="4:5" x14ac:dyDescent="0.3">
      <c r="D1074" t="s">
        <v>1058</v>
      </c>
      <c r="E1074" t="s">
        <v>552</v>
      </c>
    </row>
    <row r="1075" spans="4:5" x14ac:dyDescent="0.3">
      <c r="D1075" t="s">
        <v>1059</v>
      </c>
      <c r="E1075" t="s">
        <v>549</v>
      </c>
    </row>
    <row r="1076" spans="4:5" x14ac:dyDescent="0.3">
      <c r="D1076" t="s">
        <v>1059</v>
      </c>
      <c r="E1076" t="s">
        <v>549</v>
      </c>
    </row>
    <row r="1077" spans="4:5" x14ac:dyDescent="0.3">
      <c r="D1077" t="s">
        <v>1059</v>
      </c>
      <c r="E1077" t="s">
        <v>549</v>
      </c>
    </row>
    <row r="1078" spans="4:5" x14ac:dyDescent="0.3">
      <c r="D1078" t="s">
        <v>1060</v>
      </c>
      <c r="E1078" t="s">
        <v>547</v>
      </c>
    </row>
    <row r="1079" spans="4:5" x14ac:dyDescent="0.3">
      <c r="D1079" t="s">
        <v>1060</v>
      </c>
      <c r="E1079" t="s">
        <v>545</v>
      </c>
    </row>
    <row r="1080" spans="4:5" x14ac:dyDescent="0.3">
      <c r="D1080" t="s">
        <v>1060</v>
      </c>
      <c r="E1080" t="s">
        <v>552</v>
      </c>
    </row>
    <row r="1081" spans="4:5" x14ac:dyDescent="0.3">
      <c r="D1081" t="s">
        <v>1060</v>
      </c>
      <c r="E1081" t="s">
        <v>547</v>
      </c>
    </row>
    <row r="1082" spans="4:5" x14ac:dyDescent="0.3">
      <c r="D1082" t="s">
        <v>1063</v>
      </c>
      <c r="E1082" t="s">
        <v>547</v>
      </c>
    </row>
    <row r="1083" spans="4:5" x14ac:dyDescent="0.3">
      <c r="D1083" t="s">
        <v>1064</v>
      </c>
      <c r="E1083">
        <v>0</v>
      </c>
    </row>
    <row r="1084" spans="4:5" x14ac:dyDescent="0.3">
      <c r="D1084" t="s">
        <v>1064</v>
      </c>
      <c r="E1084" t="s">
        <v>552</v>
      </c>
    </row>
    <row r="1085" spans="4:5" x14ac:dyDescent="0.3">
      <c r="D1085" t="s">
        <v>1065</v>
      </c>
      <c r="E1085" t="s">
        <v>552</v>
      </c>
    </row>
    <row r="1086" spans="4:5" x14ac:dyDescent="0.3">
      <c r="D1086" t="s">
        <v>1065</v>
      </c>
      <c r="E1086" t="s">
        <v>545</v>
      </c>
    </row>
    <row r="1087" spans="4:5" x14ac:dyDescent="0.3">
      <c r="D1087" t="s">
        <v>1065</v>
      </c>
      <c r="E1087" t="s">
        <v>545</v>
      </c>
    </row>
    <row r="1088" spans="4:5" x14ac:dyDescent="0.3">
      <c r="D1088" t="s">
        <v>1065</v>
      </c>
      <c r="E1088" t="s">
        <v>552</v>
      </c>
    </row>
    <row r="1089" spans="4:5" x14ac:dyDescent="0.3">
      <c r="D1089" t="s">
        <v>1066</v>
      </c>
      <c r="E1089" t="s">
        <v>545</v>
      </c>
    </row>
    <row r="1090" spans="4:5" x14ac:dyDescent="0.3">
      <c r="D1090" t="s">
        <v>1066</v>
      </c>
      <c r="E1090" t="s">
        <v>545</v>
      </c>
    </row>
    <row r="1091" spans="4:5" x14ac:dyDescent="0.3">
      <c r="D1091" t="s">
        <v>1066</v>
      </c>
      <c r="E1091" t="s">
        <v>545</v>
      </c>
    </row>
    <row r="1092" spans="4:5" x14ac:dyDescent="0.3">
      <c r="D1092" t="s">
        <v>1030</v>
      </c>
      <c r="E1092" t="s">
        <v>545</v>
      </c>
    </row>
    <row r="1093" spans="4:5" x14ac:dyDescent="0.3">
      <c r="D1093" t="s">
        <v>1072</v>
      </c>
      <c r="E1093" t="s">
        <v>547</v>
      </c>
    </row>
    <row r="1094" spans="4:5" x14ac:dyDescent="0.3">
      <c r="D1094" t="s">
        <v>1072</v>
      </c>
      <c r="E1094">
        <v>0</v>
      </c>
    </row>
    <row r="1095" spans="4:5" x14ac:dyDescent="0.3">
      <c r="D1095" t="s">
        <v>1072</v>
      </c>
      <c r="E1095" t="s">
        <v>545</v>
      </c>
    </row>
    <row r="1096" spans="4:5" x14ac:dyDescent="0.3">
      <c r="D1096" t="s">
        <v>1072</v>
      </c>
      <c r="E1096" t="s">
        <v>545</v>
      </c>
    </row>
    <row r="1097" spans="4:5" x14ac:dyDescent="0.3">
      <c r="D1097" t="s">
        <v>1072</v>
      </c>
      <c r="E1097" t="s">
        <v>545</v>
      </c>
    </row>
    <row r="1098" spans="4:5" x14ac:dyDescent="0.3">
      <c r="D1098" t="s">
        <v>1072</v>
      </c>
      <c r="E1098" t="s">
        <v>545</v>
      </c>
    </row>
    <row r="1099" spans="4:5" x14ac:dyDescent="0.3">
      <c r="D1099" t="s">
        <v>1072</v>
      </c>
      <c r="E1099" t="s">
        <v>545</v>
      </c>
    </row>
    <row r="1100" spans="4:5" x14ac:dyDescent="0.3">
      <c r="D1100" t="s">
        <v>1072</v>
      </c>
      <c r="E1100" t="s">
        <v>545</v>
      </c>
    </row>
    <row r="1101" spans="4:5" x14ac:dyDescent="0.3">
      <c r="D1101" t="s">
        <v>1072</v>
      </c>
      <c r="E1101" t="s">
        <v>552</v>
      </c>
    </row>
    <row r="1102" spans="4:5" x14ac:dyDescent="0.3">
      <c r="D1102" t="s">
        <v>1073</v>
      </c>
      <c r="E1102" t="s">
        <v>546</v>
      </c>
    </row>
    <row r="1103" spans="4:5" x14ac:dyDescent="0.3">
      <c r="D1103" t="s">
        <v>1031</v>
      </c>
      <c r="E1103" t="s">
        <v>545</v>
      </c>
    </row>
    <row r="1104" spans="4:5" x14ac:dyDescent="0.3">
      <c r="D1104" t="s">
        <v>1027</v>
      </c>
      <c r="E1104" t="s">
        <v>545</v>
      </c>
    </row>
    <row r="1105" spans="4:5" x14ac:dyDescent="0.3">
      <c r="D1105" t="s">
        <v>1027</v>
      </c>
      <c r="E1105" t="s">
        <v>545</v>
      </c>
    </row>
    <row r="1106" spans="4:5" x14ac:dyDescent="0.3">
      <c r="D1106" t="s">
        <v>1027</v>
      </c>
      <c r="E1106" t="s">
        <v>545</v>
      </c>
    </row>
    <row r="1107" spans="4:5" x14ac:dyDescent="0.3">
      <c r="D1107" t="s">
        <v>1027</v>
      </c>
      <c r="E1107" t="s">
        <v>545</v>
      </c>
    </row>
    <row r="1108" spans="4:5" x14ac:dyDescent="0.3">
      <c r="D1108" t="s">
        <v>1027</v>
      </c>
      <c r="E1108" t="s">
        <v>545</v>
      </c>
    </row>
    <row r="1109" spans="4:5" x14ac:dyDescent="0.3">
      <c r="D1109" t="s">
        <v>1027</v>
      </c>
      <c r="E1109" t="s">
        <v>545</v>
      </c>
    </row>
    <row r="1110" spans="4:5" x14ac:dyDescent="0.3">
      <c r="D1110" t="s">
        <v>1027</v>
      </c>
      <c r="E1110" t="s">
        <v>545</v>
      </c>
    </row>
    <row r="1111" spans="4:5" x14ac:dyDescent="0.3">
      <c r="D1111" t="s">
        <v>1074</v>
      </c>
      <c r="E1111" t="s">
        <v>545</v>
      </c>
    </row>
    <row r="1112" spans="4:5" x14ac:dyDescent="0.3">
      <c r="D1112" t="s">
        <v>1074</v>
      </c>
      <c r="E1112" t="s">
        <v>545</v>
      </c>
    </row>
    <row r="1113" spans="4:5" x14ac:dyDescent="0.3">
      <c r="D1113" t="s">
        <v>1074</v>
      </c>
      <c r="E1113" t="s">
        <v>545</v>
      </c>
    </row>
    <row r="1114" spans="4:5" x14ac:dyDescent="0.3">
      <c r="D1114" t="s">
        <v>1074</v>
      </c>
      <c r="E1114" t="s">
        <v>552</v>
      </c>
    </row>
    <row r="1115" spans="4:5" x14ac:dyDescent="0.3">
      <c r="D1115" t="s">
        <v>1074</v>
      </c>
      <c r="E1115" t="s">
        <v>545</v>
      </c>
    </row>
    <row r="1116" spans="4:5" x14ac:dyDescent="0.3">
      <c r="D1116" t="s">
        <v>1074</v>
      </c>
      <c r="E1116" t="s">
        <v>552</v>
      </c>
    </row>
    <row r="1117" spans="4:5" x14ac:dyDescent="0.3">
      <c r="D1117" t="s">
        <v>1222</v>
      </c>
      <c r="E1117" t="s">
        <v>546</v>
      </c>
    </row>
    <row r="1118" spans="4:5" x14ac:dyDescent="0.3">
      <c r="D1118" t="s">
        <v>1077</v>
      </c>
      <c r="E1118" t="s">
        <v>581</v>
      </c>
    </row>
    <row r="1119" spans="4:5" x14ac:dyDescent="0.3">
      <c r="D1119" t="s">
        <v>1077</v>
      </c>
      <c r="E1119" t="s">
        <v>545</v>
      </c>
    </row>
    <row r="1120" spans="4:5" x14ac:dyDescent="0.3">
      <c r="D1120" t="s">
        <v>1077</v>
      </c>
      <c r="E1120" t="s">
        <v>545</v>
      </c>
    </row>
    <row r="1121" spans="4:5" x14ac:dyDescent="0.3">
      <c r="D1121" t="s">
        <v>1077</v>
      </c>
      <c r="E1121" t="s">
        <v>545</v>
      </c>
    </row>
    <row r="1122" spans="4:5" x14ac:dyDescent="0.3">
      <c r="D1122" t="s">
        <v>1077</v>
      </c>
      <c r="E1122" t="s">
        <v>545</v>
      </c>
    </row>
    <row r="1123" spans="4:5" x14ac:dyDescent="0.3">
      <c r="D1123" t="s">
        <v>1077</v>
      </c>
      <c r="E1123" t="s">
        <v>545</v>
      </c>
    </row>
    <row r="1124" spans="4:5" x14ac:dyDescent="0.3">
      <c r="D1124" t="s">
        <v>1223</v>
      </c>
      <c r="E1124">
        <v>0</v>
      </c>
    </row>
    <row r="1125" spans="4:5" x14ac:dyDescent="0.3">
      <c r="D1125" t="s">
        <v>1223</v>
      </c>
      <c r="E1125" t="s">
        <v>547</v>
      </c>
    </row>
    <row r="1126" spans="4:5" x14ac:dyDescent="0.3">
      <c r="D1126" t="s">
        <v>1223</v>
      </c>
      <c r="E1126" t="s">
        <v>545</v>
      </c>
    </row>
    <row r="1127" spans="4:5" x14ac:dyDescent="0.3">
      <c r="D1127" t="s">
        <v>1223</v>
      </c>
      <c r="E1127" t="s">
        <v>552</v>
      </c>
    </row>
    <row r="1128" spans="4:5" x14ac:dyDescent="0.3">
      <c r="D1128" t="s">
        <v>1223</v>
      </c>
      <c r="E1128" t="s">
        <v>552</v>
      </c>
    </row>
    <row r="1129" spans="4:5" x14ac:dyDescent="0.3">
      <c r="D1129" t="s">
        <v>1223</v>
      </c>
      <c r="E1129" t="s">
        <v>552</v>
      </c>
    </row>
    <row r="1130" spans="4:5" x14ac:dyDescent="0.3">
      <c r="D1130" t="s">
        <v>1223</v>
      </c>
      <c r="E1130" t="s">
        <v>552</v>
      </c>
    </row>
    <row r="1131" spans="4:5" x14ac:dyDescent="0.3">
      <c r="D1131" t="s">
        <v>1223</v>
      </c>
      <c r="E1131" t="s">
        <v>552</v>
      </c>
    </row>
    <row r="1132" spans="4:5" x14ac:dyDescent="0.3">
      <c r="D1132" t="s">
        <v>1223</v>
      </c>
      <c r="E1132" t="s">
        <v>552</v>
      </c>
    </row>
    <row r="1133" spans="4:5" x14ac:dyDescent="0.3">
      <c r="D1133" t="s">
        <v>1223</v>
      </c>
      <c r="E1133" t="s">
        <v>552</v>
      </c>
    </row>
    <row r="1134" spans="4:5" x14ac:dyDescent="0.3">
      <c r="D1134" t="s">
        <v>1223</v>
      </c>
      <c r="E1134" t="s">
        <v>552</v>
      </c>
    </row>
    <row r="1135" spans="4:5" x14ac:dyDescent="0.3">
      <c r="D1135" t="s">
        <v>1223</v>
      </c>
      <c r="E1135" t="s">
        <v>552</v>
      </c>
    </row>
    <row r="1136" spans="4:5" x14ac:dyDescent="0.3">
      <c r="D1136" t="s">
        <v>1224</v>
      </c>
      <c r="E1136" t="s">
        <v>552</v>
      </c>
    </row>
    <row r="1137" spans="4:5" x14ac:dyDescent="0.3">
      <c r="D1137" t="s">
        <v>1224</v>
      </c>
      <c r="E1137" t="s">
        <v>552</v>
      </c>
    </row>
    <row r="1138" spans="4:5" x14ac:dyDescent="0.3">
      <c r="D1138" t="s">
        <v>1250</v>
      </c>
      <c r="E1138">
        <v>0</v>
      </c>
    </row>
    <row r="1139" spans="4:5" x14ac:dyDescent="0.3">
      <c r="D1139" t="s">
        <v>1250</v>
      </c>
      <c r="E1139">
        <v>0</v>
      </c>
    </row>
    <row r="1140" spans="4:5" x14ac:dyDescent="0.3">
      <c r="D1140" t="s">
        <v>1246</v>
      </c>
      <c r="E1140" t="s">
        <v>547</v>
      </c>
    </row>
    <row r="1141" spans="4:5" x14ac:dyDescent="0.3">
      <c r="D1141" t="s">
        <v>1246</v>
      </c>
      <c r="E1141" t="s">
        <v>545</v>
      </c>
    </row>
    <row r="1142" spans="4:5" x14ac:dyDescent="0.3">
      <c r="D1142" t="s">
        <v>1246</v>
      </c>
      <c r="E1142" t="s">
        <v>545</v>
      </c>
    </row>
    <row r="1143" spans="4:5" x14ac:dyDescent="0.3">
      <c r="D1143" t="s">
        <v>1246</v>
      </c>
      <c r="E1143" t="s">
        <v>545</v>
      </c>
    </row>
    <row r="1144" spans="4:5" x14ac:dyDescent="0.3">
      <c r="D1144" t="s">
        <v>1246</v>
      </c>
      <c r="E1144" t="s">
        <v>547</v>
      </c>
    </row>
    <row r="1145" spans="4:5" x14ac:dyDescent="0.3">
      <c r="D1145" t="s">
        <v>1247</v>
      </c>
      <c r="E1145" t="s">
        <v>547</v>
      </c>
    </row>
    <row r="1146" spans="4:5" x14ac:dyDescent="0.3">
      <c r="D1146" t="s">
        <v>1247</v>
      </c>
      <c r="E1146" t="s">
        <v>545</v>
      </c>
    </row>
    <row r="1147" spans="4:5" x14ac:dyDescent="0.3">
      <c r="D1147" t="s">
        <v>1247</v>
      </c>
      <c r="E1147" t="s">
        <v>545</v>
      </c>
    </row>
    <row r="1148" spans="4:5" x14ac:dyDescent="0.3">
      <c r="D1148" t="s">
        <v>1247</v>
      </c>
      <c r="E1148" t="s">
        <v>545</v>
      </c>
    </row>
    <row r="1149" spans="4:5" x14ac:dyDescent="0.3">
      <c r="D1149" t="s">
        <v>1247</v>
      </c>
      <c r="E1149" t="s">
        <v>547</v>
      </c>
    </row>
    <row r="1150" spans="4:5" x14ac:dyDescent="0.3">
      <c r="D1150" t="s">
        <v>1248</v>
      </c>
      <c r="E1150" t="s">
        <v>545</v>
      </c>
    </row>
    <row r="1151" spans="4:5" x14ac:dyDescent="0.3">
      <c r="D1151" t="s">
        <v>1248</v>
      </c>
      <c r="E1151" t="s">
        <v>545</v>
      </c>
    </row>
    <row r="1152" spans="4:5" x14ac:dyDescent="0.3">
      <c r="D1152" t="s">
        <v>1248</v>
      </c>
      <c r="E1152" t="s">
        <v>545</v>
      </c>
    </row>
    <row r="1153" spans="4:5" x14ac:dyDescent="0.3">
      <c r="D1153" t="s">
        <v>1251</v>
      </c>
      <c r="E1153" t="s">
        <v>546</v>
      </c>
    </row>
    <row r="1154" spans="4:5" x14ac:dyDescent="0.3">
      <c r="D1154" t="s">
        <v>1251</v>
      </c>
      <c r="E1154" t="s">
        <v>546</v>
      </c>
    </row>
    <row r="1155" spans="4:5" x14ac:dyDescent="0.3">
      <c r="D1155" t="s">
        <v>1251</v>
      </c>
      <c r="E1155" t="s">
        <v>552</v>
      </c>
    </row>
    <row r="1156" spans="4:5" x14ac:dyDescent="0.3">
      <c r="D1156" t="s">
        <v>1252</v>
      </c>
      <c r="E1156" t="s">
        <v>546</v>
      </c>
    </row>
    <row r="1157" spans="4:5" x14ac:dyDescent="0.3">
      <c r="D1157" t="s">
        <v>1253</v>
      </c>
      <c r="E1157" t="s">
        <v>549</v>
      </c>
    </row>
    <row r="1158" spans="4:5" x14ac:dyDescent="0.3">
      <c r="D1158" t="s">
        <v>1253</v>
      </c>
      <c r="E1158" t="s">
        <v>549</v>
      </c>
    </row>
    <row r="1159" spans="4:5" x14ac:dyDescent="0.3">
      <c r="D1159" t="s">
        <v>1249</v>
      </c>
      <c r="E1159" t="s">
        <v>547</v>
      </c>
    </row>
    <row r="1160" spans="4:5" x14ac:dyDescent="0.3">
      <c r="D1160" t="s">
        <v>1249</v>
      </c>
      <c r="E1160" t="s">
        <v>545</v>
      </c>
    </row>
    <row r="1161" spans="4:5" x14ac:dyDescent="0.3">
      <c r="D1161" t="s">
        <v>1255</v>
      </c>
      <c r="E1161" t="s">
        <v>552</v>
      </c>
    </row>
    <row r="1162" spans="4:5" x14ac:dyDescent="0.3">
      <c r="D1162" t="s">
        <v>250</v>
      </c>
      <c r="E1162" t="s">
        <v>546</v>
      </c>
    </row>
    <row r="1163" spans="4:5" x14ac:dyDescent="0.3">
      <c r="D1163" t="s">
        <v>254</v>
      </c>
      <c r="E1163" t="s">
        <v>545</v>
      </c>
    </row>
    <row r="1164" spans="4:5" x14ac:dyDescent="0.3">
      <c r="D1164" t="s">
        <v>254</v>
      </c>
      <c r="E1164" t="s">
        <v>545</v>
      </c>
    </row>
    <row r="1165" spans="4:5" x14ac:dyDescent="0.3">
      <c r="D1165" t="s">
        <v>255</v>
      </c>
      <c r="E1165" t="s">
        <v>545</v>
      </c>
    </row>
    <row r="1166" spans="4:5" x14ac:dyDescent="0.3">
      <c r="D1166" t="s">
        <v>578</v>
      </c>
      <c r="E1166" t="s">
        <v>546</v>
      </c>
    </row>
    <row r="1167" spans="4:5" x14ac:dyDescent="0.3">
      <c r="D1167" t="s">
        <v>637</v>
      </c>
      <c r="E1167" t="s">
        <v>546</v>
      </c>
    </row>
    <row r="1168" spans="4:5" x14ac:dyDescent="0.3">
      <c r="D1168" t="s">
        <v>637</v>
      </c>
      <c r="E1168" t="s">
        <v>581</v>
      </c>
    </row>
    <row r="1169" spans="4:5" x14ac:dyDescent="0.3">
      <c r="D1169" t="s">
        <v>637</v>
      </c>
      <c r="E1169" t="s">
        <v>546</v>
      </c>
    </row>
    <row r="1170" spans="4:5" x14ac:dyDescent="0.3">
      <c r="D1170" t="s">
        <v>637</v>
      </c>
      <c r="E1170" t="s">
        <v>546</v>
      </c>
    </row>
    <row r="1171" spans="4:5" x14ac:dyDescent="0.3">
      <c r="D1171" t="s">
        <v>637</v>
      </c>
      <c r="E1171" t="s">
        <v>581</v>
      </c>
    </row>
    <row r="1172" spans="4:5" x14ac:dyDescent="0.3">
      <c r="D1172" t="s">
        <v>560</v>
      </c>
      <c r="E1172" t="s">
        <v>561</v>
      </c>
    </row>
    <row r="1173" spans="4:5" x14ac:dyDescent="0.3">
      <c r="D1173" t="s">
        <v>562</v>
      </c>
      <c r="E1173" t="s">
        <v>561</v>
      </c>
    </row>
    <row r="1174" spans="4:5" x14ac:dyDescent="0.3">
      <c r="D1174" t="s">
        <v>753</v>
      </c>
      <c r="E1174" t="s">
        <v>561</v>
      </c>
    </row>
    <row r="1175" spans="4:5" x14ac:dyDescent="0.3">
      <c r="D1175" t="s">
        <v>1225</v>
      </c>
      <c r="E1175" t="s">
        <v>552</v>
      </c>
    </row>
    <row r="1176" spans="4:5" x14ac:dyDescent="0.3">
      <c r="D1176" t="s">
        <v>256</v>
      </c>
      <c r="E1176" t="s">
        <v>548</v>
      </c>
    </row>
    <row r="1177" spans="4:5" x14ac:dyDescent="0.3">
      <c r="D1177" t="s">
        <v>1226</v>
      </c>
      <c r="E1177" t="s">
        <v>552</v>
      </c>
    </row>
    <row r="1178" spans="4:5" x14ac:dyDescent="0.3">
      <c r="D1178" t="s">
        <v>257</v>
      </c>
      <c r="E1178" t="s">
        <v>548</v>
      </c>
    </row>
    <row r="1179" spans="4:5" x14ac:dyDescent="0.3">
      <c r="D1179" t="s">
        <v>258</v>
      </c>
      <c r="E1179" t="s">
        <v>565</v>
      </c>
    </row>
    <row r="1180" spans="4:5" x14ac:dyDescent="0.3">
      <c r="D1180" t="s">
        <v>258</v>
      </c>
      <c r="E1180" t="s">
        <v>565</v>
      </c>
    </row>
    <row r="1181" spans="4:5" x14ac:dyDescent="0.3">
      <c r="D1181" t="s">
        <v>258</v>
      </c>
      <c r="E1181" t="s">
        <v>548</v>
      </c>
    </row>
    <row r="1182" spans="4:5" x14ac:dyDescent="0.3">
      <c r="D1182" t="s">
        <v>258</v>
      </c>
      <c r="E1182" t="s">
        <v>548</v>
      </c>
    </row>
    <row r="1183" spans="4:5" x14ac:dyDescent="0.3">
      <c r="D1183" t="s">
        <v>258</v>
      </c>
      <c r="E1183" t="s">
        <v>548</v>
      </c>
    </row>
    <row r="1184" spans="4:5" x14ac:dyDescent="0.3">
      <c r="D1184" t="s">
        <v>259</v>
      </c>
      <c r="E1184" t="s">
        <v>565</v>
      </c>
    </row>
    <row r="1185" spans="4:5" x14ac:dyDescent="0.3">
      <c r="D1185" t="s">
        <v>259</v>
      </c>
      <c r="E1185" t="s">
        <v>565</v>
      </c>
    </row>
    <row r="1186" spans="4:5" x14ac:dyDescent="0.3">
      <c r="D1186" t="s">
        <v>259</v>
      </c>
      <c r="E1186" t="s">
        <v>546</v>
      </c>
    </row>
    <row r="1187" spans="4:5" x14ac:dyDescent="0.3">
      <c r="D1187" t="s">
        <v>259</v>
      </c>
      <c r="E1187" t="s">
        <v>548</v>
      </c>
    </row>
    <row r="1188" spans="4:5" x14ac:dyDescent="0.3">
      <c r="D1188" t="s">
        <v>259</v>
      </c>
      <c r="E1188" t="s">
        <v>548</v>
      </c>
    </row>
    <row r="1189" spans="4:5" x14ac:dyDescent="0.3">
      <c r="D1189" t="s">
        <v>259</v>
      </c>
      <c r="E1189" t="s">
        <v>548</v>
      </c>
    </row>
    <row r="1190" spans="4:5" x14ac:dyDescent="0.3">
      <c r="D1190" t="s">
        <v>1012</v>
      </c>
      <c r="E1190" t="s">
        <v>565</v>
      </c>
    </row>
    <row r="1191" spans="4:5" x14ac:dyDescent="0.3">
      <c r="D1191" t="s">
        <v>1039</v>
      </c>
      <c r="E1191" t="s">
        <v>552</v>
      </c>
    </row>
    <row r="1192" spans="4:5" x14ac:dyDescent="0.3">
      <c r="D1192" t="s">
        <v>1039</v>
      </c>
      <c r="E1192" t="s">
        <v>565</v>
      </c>
    </row>
    <row r="1193" spans="4:5" x14ac:dyDescent="0.3">
      <c r="D1193" t="s">
        <v>1039</v>
      </c>
      <c r="E1193" t="s">
        <v>565</v>
      </c>
    </row>
    <row r="1194" spans="4:5" x14ac:dyDescent="0.3">
      <c r="D1194" t="s">
        <v>1039</v>
      </c>
      <c r="E1194" t="s">
        <v>565</v>
      </c>
    </row>
    <row r="1195" spans="4:5" x14ac:dyDescent="0.3">
      <c r="D1195" t="s">
        <v>1039</v>
      </c>
      <c r="E1195" t="s">
        <v>565</v>
      </c>
    </row>
    <row r="1196" spans="4:5" x14ac:dyDescent="0.3">
      <c r="D1196" t="s">
        <v>1040</v>
      </c>
      <c r="E1196" t="s">
        <v>565</v>
      </c>
    </row>
    <row r="1197" spans="4:5" x14ac:dyDescent="0.3">
      <c r="D1197" t="s">
        <v>1040</v>
      </c>
      <c r="E1197" t="s">
        <v>565</v>
      </c>
    </row>
    <row r="1198" spans="4:5" x14ac:dyDescent="0.3">
      <c r="D1198" t="s">
        <v>1040</v>
      </c>
      <c r="E1198" t="s">
        <v>552</v>
      </c>
    </row>
    <row r="1199" spans="4:5" x14ac:dyDescent="0.3">
      <c r="D1199" t="s">
        <v>1040</v>
      </c>
      <c r="E1199" t="s">
        <v>565</v>
      </c>
    </row>
    <row r="1200" spans="4:5" x14ac:dyDescent="0.3">
      <c r="D1200" t="s">
        <v>1227</v>
      </c>
      <c r="E1200" t="s">
        <v>552</v>
      </c>
    </row>
    <row r="1201" spans="4:5" x14ac:dyDescent="0.3">
      <c r="D1201" t="s">
        <v>1256</v>
      </c>
      <c r="E1201" t="s">
        <v>552</v>
      </c>
    </row>
    <row r="1202" spans="4:5" x14ac:dyDescent="0.3">
      <c r="D1202" t="s">
        <v>260</v>
      </c>
      <c r="E1202" t="s">
        <v>548</v>
      </c>
    </row>
    <row r="1203" spans="4:5" x14ac:dyDescent="0.3">
      <c r="D1203" t="s">
        <v>264</v>
      </c>
      <c r="E1203" t="s">
        <v>548</v>
      </c>
    </row>
    <row r="1204" spans="4:5" x14ac:dyDescent="0.3">
      <c r="D1204" t="s">
        <v>265</v>
      </c>
      <c r="E1204" t="s">
        <v>548</v>
      </c>
    </row>
    <row r="1205" spans="4:5" x14ac:dyDescent="0.3">
      <c r="D1205" t="s">
        <v>267</v>
      </c>
      <c r="E1205" t="s">
        <v>548</v>
      </c>
    </row>
    <row r="1206" spans="4:5" x14ac:dyDescent="0.3">
      <c r="D1206" t="s">
        <v>592</v>
      </c>
      <c r="E1206" t="s">
        <v>548</v>
      </c>
    </row>
    <row r="1207" spans="4:5" x14ac:dyDescent="0.3">
      <c r="D1207" t="s">
        <v>567</v>
      </c>
      <c r="E1207" t="s">
        <v>565</v>
      </c>
    </row>
    <row r="1208" spans="4:5" x14ac:dyDescent="0.3">
      <c r="D1208" t="s">
        <v>271</v>
      </c>
      <c r="E1208" t="s">
        <v>548</v>
      </c>
    </row>
    <row r="1209" spans="4:5" x14ac:dyDescent="0.3">
      <c r="D1209" t="s">
        <v>586</v>
      </c>
      <c r="E1209" t="s">
        <v>548</v>
      </c>
    </row>
    <row r="1210" spans="4:5" x14ac:dyDescent="0.3">
      <c r="D1210" t="s">
        <v>272</v>
      </c>
      <c r="E1210" t="s">
        <v>548</v>
      </c>
    </row>
    <row r="1211" spans="4:5" x14ac:dyDescent="0.3">
      <c r="D1211" t="s">
        <v>603</v>
      </c>
      <c r="E1211" t="s">
        <v>548</v>
      </c>
    </row>
    <row r="1212" spans="4:5" x14ac:dyDescent="0.3">
      <c r="D1212" t="s">
        <v>274</v>
      </c>
      <c r="E1212" t="s">
        <v>548</v>
      </c>
    </row>
    <row r="1213" spans="4:5" x14ac:dyDescent="0.3">
      <c r="D1213" t="s">
        <v>276</v>
      </c>
      <c r="E1213" t="s">
        <v>548</v>
      </c>
    </row>
    <row r="1214" spans="4:5" x14ac:dyDescent="0.3">
      <c r="D1214" t="s">
        <v>277</v>
      </c>
      <c r="E1214" t="s">
        <v>548</v>
      </c>
    </row>
    <row r="1215" spans="4:5" x14ac:dyDescent="0.3">
      <c r="D1215" t="s">
        <v>278</v>
      </c>
      <c r="E1215" t="s">
        <v>548</v>
      </c>
    </row>
    <row r="1216" spans="4:5" x14ac:dyDescent="0.3">
      <c r="D1216" t="s">
        <v>282</v>
      </c>
      <c r="E1216" t="s">
        <v>548</v>
      </c>
    </row>
    <row r="1217" spans="4:5" x14ac:dyDescent="0.3">
      <c r="D1217" t="s">
        <v>283</v>
      </c>
      <c r="E1217" t="s">
        <v>548</v>
      </c>
    </row>
    <row r="1218" spans="4:5" x14ac:dyDescent="0.3">
      <c r="D1218" t="s">
        <v>284</v>
      </c>
      <c r="E1218" t="s">
        <v>548</v>
      </c>
    </row>
    <row r="1219" spans="4:5" x14ac:dyDescent="0.3">
      <c r="D1219" t="s">
        <v>285</v>
      </c>
      <c r="E1219" t="s">
        <v>548</v>
      </c>
    </row>
    <row r="1220" spans="4:5" x14ac:dyDescent="0.3">
      <c r="D1220" t="s">
        <v>359</v>
      </c>
      <c r="E1220" t="s">
        <v>545</v>
      </c>
    </row>
    <row r="1221" spans="4:5" x14ac:dyDescent="0.3">
      <c r="D1221" t="s">
        <v>361</v>
      </c>
      <c r="E1221" t="s">
        <v>545</v>
      </c>
    </row>
    <row r="1222" spans="4:5" x14ac:dyDescent="0.3">
      <c r="D1222" t="s">
        <v>364</v>
      </c>
      <c r="E1222" t="s">
        <v>547</v>
      </c>
    </row>
    <row r="1223" spans="4:5" x14ac:dyDescent="0.3">
      <c r="D1223" t="s">
        <v>365</v>
      </c>
      <c r="E1223" t="s">
        <v>545</v>
      </c>
    </row>
    <row r="1224" spans="4:5" x14ac:dyDescent="0.3">
      <c r="D1224" t="s">
        <v>366</v>
      </c>
      <c r="E1224" t="s">
        <v>547</v>
      </c>
    </row>
    <row r="1225" spans="4:5" x14ac:dyDescent="0.3">
      <c r="D1225" t="s">
        <v>593</v>
      </c>
      <c r="E1225" t="s">
        <v>546</v>
      </c>
    </row>
    <row r="1226" spans="4:5" x14ac:dyDescent="0.3">
      <c r="D1226" t="s">
        <v>371</v>
      </c>
      <c r="E1226" t="s">
        <v>545</v>
      </c>
    </row>
    <row r="1227" spans="4:5" x14ac:dyDescent="0.3">
      <c r="D1227" t="s">
        <v>374</v>
      </c>
      <c r="E1227" t="s">
        <v>545</v>
      </c>
    </row>
    <row r="1228" spans="4:5" x14ac:dyDescent="0.3">
      <c r="D1228" t="s">
        <v>375</v>
      </c>
      <c r="E1228" t="s">
        <v>545</v>
      </c>
    </row>
    <row r="1229" spans="4:5" x14ac:dyDescent="0.3">
      <c r="D1229" t="s">
        <v>376</v>
      </c>
      <c r="E1229" t="s">
        <v>545</v>
      </c>
    </row>
    <row r="1230" spans="4:5" x14ac:dyDescent="0.3">
      <c r="D1230" t="s">
        <v>377</v>
      </c>
      <c r="E1230" t="s">
        <v>553</v>
      </c>
    </row>
    <row r="1231" spans="4:5" x14ac:dyDescent="0.3">
      <c r="D1231" t="s">
        <v>379</v>
      </c>
      <c r="E1231" t="s">
        <v>549</v>
      </c>
    </row>
    <row r="1232" spans="4:5" x14ac:dyDescent="0.3">
      <c r="D1232" t="s">
        <v>599</v>
      </c>
      <c r="E1232" t="s">
        <v>553</v>
      </c>
    </row>
    <row r="1233" spans="4:5" x14ac:dyDescent="0.3">
      <c r="D1233" t="s">
        <v>381</v>
      </c>
      <c r="E1233" t="s">
        <v>554</v>
      </c>
    </row>
    <row r="1234" spans="4:5" x14ac:dyDescent="0.3">
      <c r="D1234" t="s">
        <v>448</v>
      </c>
      <c r="E1234" t="s">
        <v>549</v>
      </c>
    </row>
    <row r="1235" spans="4:5" x14ac:dyDescent="0.3">
      <c r="D1235" t="s">
        <v>449</v>
      </c>
      <c r="E1235" t="s">
        <v>549</v>
      </c>
    </row>
    <row r="1236" spans="4:5" x14ac:dyDescent="0.3">
      <c r="D1236" t="s">
        <v>450</v>
      </c>
      <c r="E1236" t="s">
        <v>549</v>
      </c>
    </row>
    <row r="1237" spans="4:5" x14ac:dyDescent="0.3">
      <c r="D1237" t="s">
        <v>462</v>
      </c>
      <c r="E1237" t="s">
        <v>549</v>
      </c>
    </row>
    <row r="1238" spans="4:5" x14ac:dyDescent="0.3">
      <c r="D1238" t="s">
        <v>465</v>
      </c>
      <c r="E1238" t="s">
        <v>549</v>
      </c>
    </row>
    <row r="1239" spans="4:5" x14ac:dyDescent="0.3">
      <c r="D1239" t="s">
        <v>466</v>
      </c>
      <c r="E1239" t="s">
        <v>549</v>
      </c>
    </row>
    <row r="1240" spans="4:5" x14ac:dyDescent="0.3">
      <c r="D1240" t="s">
        <v>467</v>
      </c>
      <c r="E1240" t="s">
        <v>549</v>
      </c>
    </row>
    <row r="1241" spans="4:5" x14ac:dyDescent="0.3">
      <c r="D1241" t="s">
        <v>469</v>
      </c>
      <c r="E1241" t="s">
        <v>545</v>
      </c>
    </row>
    <row r="1242" spans="4:5" x14ac:dyDescent="0.3">
      <c r="D1242" t="s">
        <v>582</v>
      </c>
      <c r="E1242" t="s">
        <v>545</v>
      </c>
    </row>
    <row r="1243" spans="4:5" x14ac:dyDescent="0.3">
      <c r="D1243" t="s">
        <v>471</v>
      </c>
      <c r="E1243">
        <v>0</v>
      </c>
    </row>
    <row r="1244" spans="4:5" x14ac:dyDescent="0.3">
      <c r="D1244" t="s">
        <v>474</v>
      </c>
      <c r="E1244" t="s">
        <v>549</v>
      </c>
    </row>
    <row r="1245" spans="4:5" x14ac:dyDescent="0.3">
      <c r="D1245" t="s">
        <v>475</v>
      </c>
      <c r="E1245" t="s">
        <v>549</v>
      </c>
    </row>
    <row r="1246" spans="4:5" x14ac:dyDescent="0.3">
      <c r="D1246" t="s">
        <v>476</v>
      </c>
      <c r="E1246" t="s">
        <v>549</v>
      </c>
    </row>
    <row r="1247" spans="4:5" x14ac:dyDescent="0.3">
      <c r="D1247" t="s">
        <v>477</v>
      </c>
      <c r="E1247" t="s">
        <v>545</v>
      </c>
    </row>
    <row r="1248" spans="4:5" x14ac:dyDescent="0.3">
      <c r="D1248" t="s">
        <v>478</v>
      </c>
      <c r="E1248" t="s">
        <v>549</v>
      </c>
    </row>
    <row r="1249" spans="4:5" x14ac:dyDescent="0.3">
      <c r="D1249" t="s">
        <v>479</v>
      </c>
      <c r="E1249" t="s">
        <v>549</v>
      </c>
    </row>
    <row r="1250" spans="4:5" x14ac:dyDescent="0.3">
      <c r="D1250" t="s">
        <v>481</v>
      </c>
      <c r="E1250" t="s">
        <v>549</v>
      </c>
    </row>
    <row r="1251" spans="4:5" x14ac:dyDescent="0.3">
      <c r="D1251" t="s">
        <v>483</v>
      </c>
      <c r="E1251" t="s">
        <v>549</v>
      </c>
    </row>
    <row r="1252" spans="4:5" x14ac:dyDescent="0.3">
      <c r="D1252" t="s">
        <v>484</v>
      </c>
      <c r="E1252" t="s">
        <v>549</v>
      </c>
    </row>
    <row r="1253" spans="4:5" x14ac:dyDescent="0.3">
      <c r="D1253" t="s">
        <v>487</v>
      </c>
      <c r="E1253" t="s">
        <v>549</v>
      </c>
    </row>
    <row r="1254" spans="4:5" x14ac:dyDescent="0.3">
      <c r="D1254" t="s">
        <v>489</v>
      </c>
      <c r="E1254" t="s">
        <v>549</v>
      </c>
    </row>
    <row r="1255" spans="4:5" x14ac:dyDescent="0.3">
      <c r="D1255" t="s">
        <v>490</v>
      </c>
      <c r="E1255" t="s">
        <v>549</v>
      </c>
    </row>
    <row r="1256" spans="4:5" x14ac:dyDescent="0.3">
      <c r="D1256" t="s">
        <v>491</v>
      </c>
      <c r="E1256" t="s">
        <v>549</v>
      </c>
    </row>
    <row r="1257" spans="4:5" x14ac:dyDescent="0.3">
      <c r="D1257" t="s">
        <v>492</v>
      </c>
      <c r="E1257" t="s">
        <v>549</v>
      </c>
    </row>
    <row r="1258" spans="4:5" x14ac:dyDescent="0.3">
      <c r="D1258" t="s">
        <v>493</v>
      </c>
      <c r="E1258" t="s">
        <v>549</v>
      </c>
    </row>
    <row r="1259" spans="4:5" x14ac:dyDescent="0.3">
      <c r="D1259" t="s">
        <v>494</v>
      </c>
      <c r="E1259" t="s">
        <v>549</v>
      </c>
    </row>
    <row r="1260" spans="4:5" x14ac:dyDescent="0.3">
      <c r="D1260" t="s">
        <v>500</v>
      </c>
      <c r="E1260" t="s">
        <v>549</v>
      </c>
    </row>
    <row r="1261" spans="4:5" x14ac:dyDescent="0.3">
      <c r="D1261" t="s">
        <v>501</v>
      </c>
      <c r="E1261" t="s">
        <v>549</v>
      </c>
    </row>
    <row r="1262" spans="4:5" x14ac:dyDescent="0.3">
      <c r="D1262" t="s">
        <v>505</v>
      </c>
      <c r="E1262" t="s">
        <v>549</v>
      </c>
    </row>
    <row r="1263" spans="4:5" x14ac:dyDescent="0.3">
      <c r="D1263" t="s">
        <v>507</v>
      </c>
      <c r="E1263" t="s">
        <v>545</v>
      </c>
    </row>
    <row r="1264" spans="4:5" x14ac:dyDescent="0.3">
      <c r="D1264" t="s">
        <v>508</v>
      </c>
      <c r="E1264" t="s">
        <v>545</v>
      </c>
    </row>
    <row r="1265" spans="4:5" x14ac:dyDescent="0.3">
      <c r="D1265" t="s">
        <v>511</v>
      </c>
      <c r="E1265" t="s">
        <v>545</v>
      </c>
    </row>
    <row r="1266" spans="4:5" x14ac:dyDescent="0.3">
      <c r="D1266" t="s">
        <v>512</v>
      </c>
      <c r="E1266" t="s">
        <v>545</v>
      </c>
    </row>
    <row r="1267" spans="4:5" x14ac:dyDescent="0.3">
      <c r="D1267" t="s">
        <v>513</v>
      </c>
      <c r="E1267" t="s">
        <v>549</v>
      </c>
    </row>
    <row r="1268" spans="4:5" x14ac:dyDescent="0.3">
      <c r="D1268" t="s">
        <v>570</v>
      </c>
      <c r="E1268" t="s">
        <v>553</v>
      </c>
    </row>
    <row r="1269" spans="4:5" x14ac:dyDescent="0.3">
      <c r="D1269" t="s">
        <v>514</v>
      </c>
      <c r="E1269" t="s">
        <v>549</v>
      </c>
    </row>
    <row r="1270" spans="4:5" x14ac:dyDescent="0.3">
      <c r="D1270" t="s">
        <v>515</v>
      </c>
      <c r="E1270" t="s">
        <v>553</v>
      </c>
    </row>
    <row r="1271" spans="4:5" x14ac:dyDescent="0.3">
      <c r="D1271" t="s">
        <v>1228</v>
      </c>
      <c r="E1271" t="s">
        <v>552</v>
      </c>
    </row>
    <row r="1272" spans="4:5" x14ac:dyDescent="0.3">
      <c r="D1272" t="s">
        <v>754</v>
      </c>
      <c r="E1272" t="s">
        <v>552</v>
      </c>
    </row>
    <row r="1273" spans="4:5" x14ac:dyDescent="0.3">
      <c r="D1273" t="s">
        <v>755</v>
      </c>
      <c r="E1273" t="s">
        <v>552</v>
      </c>
    </row>
    <row r="1274" spans="4:5" x14ac:dyDescent="0.3">
      <c r="D1274" t="s">
        <v>756</v>
      </c>
      <c r="E1274" t="s">
        <v>552</v>
      </c>
    </row>
    <row r="1275" spans="4:5" x14ac:dyDescent="0.3">
      <c r="D1275" t="s">
        <v>757</v>
      </c>
      <c r="E1275" t="s">
        <v>552</v>
      </c>
    </row>
    <row r="1276" spans="4:5" x14ac:dyDescent="0.3">
      <c r="D1276" t="s">
        <v>758</v>
      </c>
      <c r="E1276" t="s">
        <v>552</v>
      </c>
    </row>
    <row r="1277" spans="4:5" x14ac:dyDescent="0.3">
      <c r="D1277" t="s">
        <v>759</v>
      </c>
      <c r="E1277" t="s">
        <v>552</v>
      </c>
    </row>
    <row r="1278" spans="4:5" x14ac:dyDescent="0.3">
      <c r="D1278" t="s">
        <v>760</v>
      </c>
      <c r="E1278" t="s">
        <v>552</v>
      </c>
    </row>
    <row r="1279" spans="4:5" x14ac:dyDescent="0.3">
      <c r="D1279" t="s">
        <v>761</v>
      </c>
      <c r="E1279" t="s">
        <v>552</v>
      </c>
    </row>
    <row r="1280" spans="4:5" x14ac:dyDescent="0.3">
      <c r="D1280" t="s">
        <v>762</v>
      </c>
      <c r="E1280" t="s">
        <v>552</v>
      </c>
    </row>
    <row r="1281" spans="4:5" x14ac:dyDescent="0.3">
      <c r="D1281" t="s">
        <v>763</v>
      </c>
      <c r="E1281" t="s">
        <v>552</v>
      </c>
    </row>
    <row r="1282" spans="4:5" x14ac:dyDescent="0.3">
      <c r="D1282" t="s">
        <v>764</v>
      </c>
      <c r="E1282" t="s">
        <v>552</v>
      </c>
    </row>
    <row r="1283" spans="4:5" x14ac:dyDescent="0.3">
      <c r="D1283" t="s">
        <v>765</v>
      </c>
      <c r="E1283" t="s">
        <v>552</v>
      </c>
    </row>
    <row r="1284" spans="4:5" x14ac:dyDescent="0.3">
      <c r="D1284" t="s">
        <v>766</v>
      </c>
      <c r="E1284" t="s">
        <v>552</v>
      </c>
    </row>
    <row r="1285" spans="4:5" x14ac:dyDescent="0.3">
      <c r="D1285" t="s">
        <v>767</v>
      </c>
      <c r="E1285" t="s">
        <v>552</v>
      </c>
    </row>
    <row r="1286" spans="4:5" x14ac:dyDescent="0.3">
      <c r="D1286" t="s">
        <v>768</v>
      </c>
      <c r="E1286" t="s">
        <v>552</v>
      </c>
    </row>
    <row r="1287" spans="4:5" x14ac:dyDescent="0.3">
      <c r="D1287" t="s">
        <v>769</v>
      </c>
      <c r="E1287" t="s">
        <v>552</v>
      </c>
    </row>
    <row r="1288" spans="4:5" x14ac:dyDescent="0.3">
      <c r="D1288" t="s">
        <v>770</v>
      </c>
      <c r="E1288" t="s">
        <v>552</v>
      </c>
    </row>
    <row r="1289" spans="4:5" x14ac:dyDescent="0.3">
      <c r="D1289" t="s">
        <v>771</v>
      </c>
      <c r="E1289" t="s">
        <v>552</v>
      </c>
    </row>
    <row r="1290" spans="4:5" x14ac:dyDescent="0.3">
      <c r="D1290" t="s">
        <v>772</v>
      </c>
      <c r="E1290" t="s">
        <v>552</v>
      </c>
    </row>
    <row r="1291" spans="4:5" x14ac:dyDescent="0.3">
      <c r="D1291" t="s">
        <v>773</v>
      </c>
      <c r="E1291" t="s">
        <v>552</v>
      </c>
    </row>
    <row r="1292" spans="4:5" x14ac:dyDescent="0.3">
      <c r="D1292" t="s">
        <v>774</v>
      </c>
      <c r="E1292" t="s">
        <v>552</v>
      </c>
    </row>
    <row r="1293" spans="4:5" x14ac:dyDescent="0.3">
      <c r="D1293" t="s">
        <v>775</v>
      </c>
      <c r="E1293" t="s">
        <v>552</v>
      </c>
    </row>
    <row r="1294" spans="4:5" x14ac:dyDescent="0.3">
      <c r="D1294" t="s">
        <v>776</v>
      </c>
      <c r="E1294" t="s">
        <v>552</v>
      </c>
    </row>
    <row r="1295" spans="4:5" x14ac:dyDescent="0.3">
      <c r="D1295" t="s">
        <v>777</v>
      </c>
      <c r="E1295" t="s">
        <v>552</v>
      </c>
    </row>
    <row r="1296" spans="4:5" x14ac:dyDescent="0.3">
      <c r="D1296" t="s">
        <v>1229</v>
      </c>
      <c r="E1296" t="s">
        <v>552</v>
      </c>
    </row>
    <row r="1297" spans="4:5" x14ac:dyDescent="0.3">
      <c r="D1297" t="s">
        <v>989</v>
      </c>
      <c r="E1297" t="s">
        <v>553</v>
      </c>
    </row>
    <row r="1298" spans="4:5" x14ac:dyDescent="0.3">
      <c r="D1298" t="s">
        <v>778</v>
      </c>
      <c r="E1298" t="s">
        <v>552</v>
      </c>
    </row>
    <row r="1299" spans="4:5" x14ac:dyDescent="0.3">
      <c r="D1299" t="s">
        <v>779</v>
      </c>
      <c r="E1299" t="s">
        <v>545</v>
      </c>
    </row>
    <row r="1300" spans="4:5" x14ac:dyDescent="0.3">
      <c r="D1300" t="s">
        <v>780</v>
      </c>
      <c r="E1300" t="s">
        <v>552</v>
      </c>
    </row>
    <row r="1301" spans="4:5" x14ac:dyDescent="0.3">
      <c r="D1301" t="s">
        <v>1230</v>
      </c>
      <c r="E1301" t="s">
        <v>552</v>
      </c>
    </row>
    <row r="1302" spans="4:5" x14ac:dyDescent="0.3">
      <c r="D1302" t="s">
        <v>781</v>
      </c>
      <c r="E1302" t="s">
        <v>554</v>
      </c>
    </row>
    <row r="1303" spans="4:5" x14ac:dyDescent="0.3">
      <c r="D1303" t="s">
        <v>782</v>
      </c>
      <c r="E1303" t="s">
        <v>547</v>
      </c>
    </row>
    <row r="1304" spans="4:5" x14ac:dyDescent="0.3">
      <c r="D1304" t="s">
        <v>783</v>
      </c>
      <c r="E1304" t="s">
        <v>547</v>
      </c>
    </row>
    <row r="1305" spans="4:5" x14ac:dyDescent="0.3">
      <c r="D1305" t="s">
        <v>784</v>
      </c>
      <c r="E1305" t="s">
        <v>547</v>
      </c>
    </row>
    <row r="1306" spans="4:5" x14ac:dyDescent="0.3">
      <c r="D1306" t="s">
        <v>675</v>
      </c>
      <c r="E1306" t="s">
        <v>547</v>
      </c>
    </row>
    <row r="1307" spans="4:5" x14ac:dyDescent="0.3">
      <c r="D1307" t="s">
        <v>785</v>
      </c>
      <c r="E1307" t="s">
        <v>547</v>
      </c>
    </row>
    <row r="1308" spans="4:5" x14ac:dyDescent="0.3">
      <c r="D1308" t="s">
        <v>786</v>
      </c>
      <c r="E1308" t="s">
        <v>545</v>
      </c>
    </row>
    <row r="1309" spans="4:5" x14ac:dyDescent="0.3">
      <c r="D1309" t="s">
        <v>787</v>
      </c>
      <c r="E1309" t="s">
        <v>547</v>
      </c>
    </row>
    <row r="1310" spans="4:5" x14ac:dyDescent="0.3">
      <c r="D1310" t="s">
        <v>1067</v>
      </c>
      <c r="E1310" t="s">
        <v>547</v>
      </c>
    </row>
    <row r="1311" spans="4:5" x14ac:dyDescent="0.3">
      <c r="D1311" t="s">
        <v>788</v>
      </c>
      <c r="E1311" t="s">
        <v>554</v>
      </c>
    </row>
    <row r="1312" spans="4:5" x14ac:dyDescent="0.3">
      <c r="D1312" t="s">
        <v>789</v>
      </c>
      <c r="E1312" t="s">
        <v>552</v>
      </c>
    </row>
    <row r="1313" spans="4:5" x14ac:dyDescent="0.3">
      <c r="D1313" t="s">
        <v>790</v>
      </c>
      <c r="E1313" t="s">
        <v>552</v>
      </c>
    </row>
    <row r="1314" spans="4:5" x14ac:dyDescent="0.3">
      <c r="D1314" t="s">
        <v>791</v>
      </c>
      <c r="E1314" t="s">
        <v>545</v>
      </c>
    </row>
    <row r="1315" spans="4:5" x14ac:dyDescent="0.3">
      <c r="D1315" t="s">
        <v>792</v>
      </c>
      <c r="E1315" t="s">
        <v>552</v>
      </c>
    </row>
    <row r="1316" spans="4:5" x14ac:dyDescent="0.3">
      <c r="D1316" t="s">
        <v>793</v>
      </c>
      <c r="E1316" t="s">
        <v>552</v>
      </c>
    </row>
    <row r="1317" spans="4:5" x14ac:dyDescent="0.3">
      <c r="D1317" t="s">
        <v>794</v>
      </c>
      <c r="E1317" t="s">
        <v>552</v>
      </c>
    </row>
    <row r="1318" spans="4:5" x14ac:dyDescent="0.3">
      <c r="D1318" t="s">
        <v>795</v>
      </c>
      <c r="E1318" t="s">
        <v>545</v>
      </c>
    </row>
    <row r="1319" spans="4:5" x14ac:dyDescent="0.3">
      <c r="D1319" t="s">
        <v>1046</v>
      </c>
      <c r="E1319" t="s">
        <v>545</v>
      </c>
    </row>
    <row r="1320" spans="4:5" x14ac:dyDescent="0.3">
      <c r="D1320" t="s">
        <v>677</v>
      </c>
      <c r="E1320" t="s">
        <v>553</v>
      </c>
    </row>
    <row r="1321" spans="4:5" x14ac:dyDescent="0.3">
      <c r="D1321" t="s">
        <v>706</v>
      </c>
      <c r="E1321" t="s">
        <v>553</v>
      </c>
    </row>
    <row r="1322" spans="4:5" x14ac:dyDescent="0.3">
      <c r="D1322" t="s">
        <v>796</v>
      </c>
      <c r="E1322" t="s">
        <v>552</v>
      </c>
    </row>
    <row r="1323" spans="4:5" x14ac:dyDescent="0.3">
      <c r="D1323" t="s">
        <v>797</v>
      </c>
      <c r="E1323" t="s">
        <v>553</v>
      </c>
    </row>
    <row r="1324" spans="4:5" x14ac:dyDescent="0.3">
      <c r="D1324" t="s">
        <v>710</v>
      </c>
      <c r="E1324" t="s">
        <v>553</v>
      </c>
    </row>
    <row r="1325" spans="4:5" x14ac:dyDescent="0.3">
      <c r="D1325" t="s">
        <v>798</v>
      </c>
      <c r="E1325" t="s">
        <v>552</v>
      </c>
    </row>
    <row r="1326" spans="4:5" x14ac:dyDescent="0.3">
      <c r="D1326" t="s">
        <v>799</v>
      </c>
      <c r="E1326" t="s">
        <v>553</v>
      </c>
    </row>
    <row r="1327" spans="4:5" x14ac:dyDescent="0.3">
      <c r="D1327" t="s">
        <v>800</v>
      </c>
      <c r="E1327" t="s">
        <v>546</v>
      </c>
    </row>
    <row r="1328" spans="4:5" x14ac:dyDescent="0.3">
      <c r="D1328" t="s">
        <v>1231</v>
      </c>
      <c r="E1328" t="s">
        <v>552</v>
      </c>
    </row>
    <row r="1329" spans="4:5" x14ac:dyDescent="0.3">
      <c r="D1329" t="s">
        <v>1013</v>
      </c>
      <c r="E1329" t="s">
        <v>553</v>
      </c>
    </row>
    <row r="1330" spans="4:5" x14ac:dyDescent="0.3">
      <c r="D1330" t="s">
        <v>1061</v>
      </c>
      <c r="E1330" t="s">
        <v>553</v>
      </c>
    </row>
    <row r="1331" spans="4:5" x14ac:dyDescent="0.3">
      <c r="D1331" t="s">
        <v>676</v>
      </c>
      <c r="E1331" t="s">
        <v>554</v>
      </c>
    </row>
    <row r="1332" spans="4:5" x14ac:dyDescent="0.3">
      <c r="D1332" t="s">
        <v>672</v>
      </c>
      <c r="E1332" t="s">
        <v>554</v>
      </c>
    </row>
    <row r="1333" spans="4:5" x14ac:dyDescent="0.3">
      <c r="D1333" t="s">
        <v>801</v>
      </c>
      <c r="E1333" t="s">
        <v>552</v>
      </c>
    </row>
    <row r="1334" spans="4:5" x14ac:dyDescent="0.3">
      <c r="D1334" t="s">
        <v>802</v>
      </c>
      <c r="E1334" t="s">
        <v>554</v>
      </c>
    </row>
    <row r="1335" spans="4:5" x14ac:dyDescent="0.3">
      <c r="D1335" t="s">
        <v>720</v>
      </c>
      <c r="E1335" t="s">
        <v>554</v>
      </c>
    </row>
    <row r="1336" spans="4:5" x14ac:dyDescent="0.3">
      <c r="D1336" t="s">
        <v>691</v>
      </c>
      <c r="E1336" t="s">
        <v>554</v>
      </c>
    </row>
    <row r="1337" spans="4:5" x14ac:dyDescent="0.3">
      <c r="D1337" t="s">
        <v>803</v>
      </c>
      <c r="E1337" t="s">
        <v>554</v>
      </c>
    </row>
    <row r="1338" spans="4:5" x14ac:dyDescent="0.3">
      <c r="D1338" t="s">
        <v>804</v>
      </c>
      <c r="E1338" t="s">
        <v>554</v>
      </c>
    </row>
    <row r="1339" spans="4:5" x14ac:dyDescent="0.3">
      <c r="D1339" t="s">
        <v>805</v>
      </c>
      <c r="E1339" t="s">
        <v>554</v>
      </c>
    </row>
    <row r="1340" spans="4:5" x14ac:dyDescent="0.3">
      <c r="D1340" t="s">
        <v>702</v>
      </c>
      <c r="E1340" t="s">
        <v>554</v>
      </c>
    </row>
    <row r="1341" spans="4:5" x14ac:dyDescent="0.3">
      <c r="D1341" t="s">
        <v>659</v>
      </c>
      <c r="E1341" t="s">
        <v>554</v>
      </c>
    </row>
    <row r="1342" spans="4:5" x14ac:dyDescent="0.3">
      <c r="D1342" t="s">
        <v>678</v>
      </c>
      <c r="E1342" t="s">
        <v>554</v>
      </c>
    </row>
    <row r="1343" spans="4:5" x14ac:dyDescent="0.3">
      <c r="D1343" t="s">
        <v>806</v>
      </c>
      <c r="E1343" t="s">
        <v>554</v>
      </c>
    </row>
    <row r="1344" spans="4:5" x14ac:dyDescent="0.3">
      <c r="D1344" t="s">
        <v>679</v>
      </c>
      <c r="E1344" t="s">
        <v>554</v>
      </c>
    </row>
    <row r="1345" spans="4:5" x14ac:dyDescent="0.3">
      <c r="D1345" t="s">
        <v>807</v>
      </c>
      <c r="E1345" t="s">
        <v>552</v>
      </c>
    </row>
    <row r="1346" spans="4:5" x14ac:dyDescent="0.3">
      <c r="D1346" t="s">
        <v>808</v>
      </c>
      <c r="E1346" t="s">
        <v>552</v>
      </c>
    </row>
    <row r="1347" spans="4:5" x14ac:dyDescent="0.3">
      <c r="D1347" t="s">
        <v>680</v>
      </c>
      <c r="E1347" t="s">
        <v>554</v>
      </c>
    </row>
    <row r="1348" spans="4:5" x14ac:dyDescent="0.3">
      <c r="D1348" t="s">
        <v>809</v>
      </c>
      <c r="E1348" t="s">
        <v>552</v>
      </c>
    </row>
    <row r="1349" spans="4:5" x14ac:dyDescent="0.3">
      <c r="D1349" t="s">
        <v>681</v>
      </c>
      <c r="E1349" t="s">
        <v>554</v>
      </c>
    </row>
    <row r="1350" spans="4:5" x14ac:dyDescent="0.3">
      <c r="D1350" t="s">
        <v>810</v>
      </c>
      <c r="E1350" t="s">
        <v>554</v>
      </c>
    </row>
    <row r="1351" spans="4:5" x14ac:dyDescent="0.3">
      <c r="D1351" t="s">
        <v>811</v>
      </c>
      <c r="E1351" t="s">
        <v>552</v>
      </c>
    </row>
    <row r="1352" spans="4:5" x14ac:dyDescent="0.3">
      <c r="D1352" t="s">
        <v>812</v>
      </c>
      <c r="E1352" t="s">
        <v>552</v>
      </c>
    </row>
    <row r="1353" spans="4:5" x14ac:dyDescent="0.3">
      <c r="D1353" t="s">
        <v>813</v>
      </c>
      <c r="E1353" t="s">
        <v>552</v>
      </c>
    </row>
    <row r="1354" spans="4:5" x14ac:dyDescent="0.3">
      <c r="D1354" t="s">
        <v>814</v>
      </c>
      <c r="E1354" t="s">
        <v>554</v>
      </c>
    </row>
    <row r="1355" spans="4:5" x14ac:dyDescent="0.3">
      <c r="D1355" t="s">
        <v>682</v>
      </c>
      <c r="E1355" t="s">
        <v>554</v>
      </c>
    </row>
    <row r="1356" spans="4:5" x14ac:dyDescent="0.3">
      <c r="D1356" t="s">
        <v>622</v>
      </c>
      <c r="E1356" t="s">
        <v>554</v>
      </c>
    </row>
    <row r="1357" spans="4:5" x14ac:dyDescent="0.3">
      <c r="D1357" t="s">
        <v>707</v>
      </c>
      <c r="E1357" t="s">
        <v>554</v>
      </c>
    </row>
    <row r="1358" spans="4:5" x14ac:dyDescent="0.3">
      <c r="D1358" t="s">
        <v>815</v>
      </c>
      <c r="E1358" t="s">
        <v>552</v>
      </c>
    </row>
    <row r="1359" spans="4:5" x14ac:dyDescent="0.3">
      <c r="D1359" t="s">
        <v>611</v>
      </c>
      <c r="E1359" t="s">
        <v>554</v>
      </c>
    </row>
    <row r="1360" spans="4:5" x14ac:dyDescent="0.3">
      <c r="D1360" t="s">
        <v>816</v>
      </c>
      <c r="E1360" t="s">
        <v>552</v>
      </c>
    </row>
    <row r="1361" spans="4:5" x14ac:dyDescent="0.3">
      <c r="D1361" t="s">
        <v>607</v>
      </c>
      <c r="E1361" t="s">
        <v>554</v>
      </c>
    </row>
    <row r="1362" spans="4:5" x14ac:dyDescent="0.3">
      <c r="D1362" t="s">
        <v>817</v>
      </c>
      <c r="E1362" t="s">
        <v>554</v>
      </c>
    </row>
    <row r="1363" spans="4:5" x14ac:dyDescent="0.3">
      <c r="D1363" t="s">
        <v>818</v>
      </c>
      <c r="E1363" t="s">
        <v>554</v>
      </c>
    </row>
    <row r="1364" spans="4:5" x14ac:dyDescent="0.3">
      <c r="D1364" t="s">
        <v>819</v>
      </c>
      <c r="E1364" t="s">
        <v>554</v>
      </c>
    </row>
    <row r="1365" spans="4:5" x14ac:dyDescent="0.3">
      <c r="D1365" t="s">
        <v>820</v>
      </c>
      <c r="E1365" t="s">
        <v>554</v>
      </c>
    </row>
    <row r="1366" spans="4:5" x14ac:dyDescent="0.3">
      <c r="D1366" t="s">
        <v>821</v>
      </c>
      <c r="E1366" t="s">
        <v>554</v>
      </c>
    </row>
    <row r="1367" spans="4:5" x14ac:dyDescent="0.3">
      <c r="D1367" t="s">
        <v>701</v>
      </c>
      <c r="E1367" t="s">
        <v>554</v>
      </c>
    </row>
    <row r="1368" spans="4:5" x14ac:dyDescent="0.3">
      <c r="D1368" t="s">
        <v>822</v>
      </c>
      <c r="E1368" t="s">
        <v>554</v>
      </c>
    </row>
    <row r="1369" spans="4:5" x14ac:dyDescent="0.3">
      <c r="D1369" t="s">
        <v>703</v>
      </c>
      <c r="E1369" t="s">
        <v>554</v>
      </c>
    </row>
    <row r="1370" spans="4:5" x14ac:dyDescent="0.3">
      <c r="D1370" t="s">
        <v>704</v>
      </c>
      <c r="E1370" t="s">
        <v>554</v>
      </c>
    </row>
    <row r="1371" spans="4:5" x14ac:dyDescent="0.3">
      <c r="D1371" t="s">
        <v>683</v>
      </c>
      <c r="E1371" t="s">
        <v>554</v>
      </c>
    </row>
    <row r="1372" spans="4:5" x14ac:dyDescent="0.3">
      <c r="D1372" t="s">
        <v>823</v>
      </c>
      <c r="E1372" t="s">
        <v>552</v>
      </c>
    </row>
    <row r="1373" spans="4:5" x14ac:dyDescent="0.3">
      <c r="D1373" t="s">
        <v>824</v>
      </c>
      <c r="E1373" t="s">
        <v>554</v>
      </c>
    </row>
    <row r="1374" spans="4:5" x14ac:dyDescent="0.3">
      <c r="D1374" t="s">
        <v>825</v>
      </c>
      <c r="E1374" t="s">
        <v>554</v>
      </c>
    </row>
    <row r="1375" spans="4:5" x14ac:dyDescent="0.3">
      <c r="D1375" t="s">
        <v>605</v>
      </c>
      <c r="E1375" t="s">
        <v>554</v>
      </c>
    </row>
    <row r="1376" spans="4:5" x14ac:dyDescent="0.3">
      <c r="D1376" t="s">
        <v>705</v>
      </c>
      <c r="E1376" t="s">
        <v>554</v>
      </c>
    </row>
    <row r="1377" spans="4:5" x14ac:dyDescent="0.3">
      <c r="D1377" t="s">
        <v>606</v>
      </c>
      <c r="E1377" t="s">
        <v>554</v>
      </c>
    </row>
    <row r="1378" spans="4:5" x14ac:dyDescent="0.3">
      <c r="D1378" t="s">
        <v>826</v>
      </c>
      <c r="E1378" t="s">
        <v>554</v>
      </c>
    </row>
    <row r="1379" spans="4:5" x14ac:dyDescent="0.3">
      <c r="D1379" t="s">
        <v>610</v>
      </c>
      <c r="E1379" t="s">
        <v>554</v>
      </c>
    </row>
    <row r="1380" spans="4:5" x14ac:dyDescent="0.3">
      <c r="D1380" t="s">
        <v>827</v>
      </c>
      <c r="E1380" t="s">
        <v>554</v>
      </c>
    </row>
    <row r="1381" spans="4:5" x14ac:dyDescent="0.3">
      <c r="D1381" t="s">
        <v>828</v>
      </c>
      <c r="E1381" t="s">
        <v>554</v>
      </c>
    </row>
    <row r="1382" spans="4:5" x14ac:dyDescent="0.3">
      <c r="D1382" t="s">
        <v>631</v>
      </c>
      <c r="E1382" t="s">
        <v>554</v>
      </c>
    </row>
    <row r="1383" spans="4:5" x14ac:dyDescent="0.3">
      <c r="D1383" t="s">
        <v>665</v>
      </c>
      <c r="E1383" t="s">
        <v>554</v>
      </c>
    </row>
    <row r="1384" spans="4:5" x14ac:dyDescent="0.3">
      <c r="D1384" t="s">
        <v>684</v>
      </c>
      <c r="E1384" t="s">
        <v>554</v>
      </c>
    </row>
    <row r="1385" spans="4:5" x14ac:dyDescent="0.3">
      <c r="D1385" t="s">
        <v>829</v>
      </c>
      <c r="E1385" t="s">
        <v>552</v>
      </c>
    </row>
    <row r="1386" spans="4:5" x14ac:dyDescent="0.3">
      <c r="D1386" t="s">
        <v>685</v>
      </c>
      <c r="E1386" t="s">
        <v>554</v>
      </c>
    </row>
    <row r="1387" spans="4:5" x14ac:dyDescent="0.3">
      <c r="D1387" t="s">
        <v>695</v>
      </c>
      <c r="E1387" t="s">
        <v>554</v>
      </c>
    </row>
    <row r="1388" spans="4:5" x14ac:dyDescent="0.3">
      <c r="D1388" t="s">
        <v>609</v>
      </c>
      <c r="E1388" t="s">
        <v>554</v>
      </c>
    </row>
    <row r="1389" spans="4:5" x14ac:dyDescent="0.3">
      <c r="D1389" t="s">
        <v>830</v>
      </c>
      <c r="E1389" t="s">
        <v>552</v>
      </c>
    </row>
    <row r="1390" spans="4:5" x14ac:dyDescent="0.3">
      <c r="D1390" t="s">
        <v>690</v>
      </c>
      <c r="E1390" t="s">
        <v>554</v>
      </c>
    </row>
    <row r="1391" spans="4:5" x14ac:dyDescent="0.3">
      <c r="D1391" t="s">
        <v>686</v>
      </c>
      <c r="E1391" t="s">
        <v>554</v>
      </c>
    </row>
    <row r="1392" spans="4:5" x14ac:dyDescent="0.3">
      <c r="D1392" t="s">
        <v>669</v>
      </c>
      <c r="E1392" t="s">
        <v>554</v>
      </c>
    </row>
    <row r="1393" spans="4:5" x14ac:dyDescent="0.3">
      <c r="D1393" t="s">
        <v>687</v>
      </c>
      <c r="E1393" t="s">
        <v>554</v>
      </c>
    </row>
    <row r="1394" spans="4:5" x14ac:dyDescent="0.3">
      <c r="D1394" t="s">
        <v>693</v>
      </c>
      <c r="E1394" t="s">
        <v>554</v>
      </c>
    </row>
    <row r="1395" spans="4:5" x14ac:dyDescent="0.3">
      <c r="D1395" t="s">
        <v>624</v>
      </c>
      <c r="E1395" t="s">
        <v>554</v>
      </c>
    </row>
    <row r="1396" spans="4:5" x14ac:dyDescent="0.3">
      <c r="D1396" t="s">
        <v>831</v>
      </c>
      <c r="E1396" t="s">
        <v>552</v>
      </c>
    </row>
    <row r="1397" spans="4:5" x14ac:dyDescent="0.3">
      <c r="D1397" t="s">
        <v>688</v>
      </c>
      <c r="E1397" t="s">
        <v>554</v>
      </c>
    </row>
    <row r="1398" spans="4:5" x14ac:dyDescent="0.3">
      <c r="D1398" t="s">
        <v>689</v>
      </c>
      <c r="E1398" t="s">
        <v>554</v>
      </c>
    </row>
    <row r="1399" spans="4:5" x14ac:dyDescent="0.3">
      <c r="D1399" t="s">
        <v>696</v>
      </c>
      <c r="E1399" t="s">
        <v>554</v>
      </c>
    </row>
    <row r="1400" spans="4:5" x14ac:dyDescent="0.3">
      <c r="D1400" t="s">
        <v>660</v>
      </c>
      <c r="E1400" t="s">
        <v>554</v>
      </c>
    </row>
    <row r="1401" spans="4:5" x14ac:dyDescent="0.3">
      <c r="D1401" t="s">
        <v>662</v>
      </c>
      <c r="E1401" t="s">
        <v>554</v>
      </c>
    </row>
    <row r="1402" spans="4:5" x14ac:dyDescent="0.3">
      <c r="D1402" t="s">
        <v>832</v>
      </c>
      <c r="E1402" t="s">
        <v>552</v>
      </c>
    </row>
    <row r="1403" spans="4:5" x14ac:dyDescent="0.3">
      <c r="D1403" t="s">
        <v>697</v>
      </c>
      <c r="E1403" t="s">
        <v>554</v>
      </c>
    </row>
    <row r="1404" spans="4:5" x14ac:dyDescent="0.3">
      <c r="D1404" t="s">
        <v>658</v>
      </c>
      <c r="E1404" t="s">
        <v>554</v>
      </c>
    </row>
    <row r="1405" spans="4:5" x14ac:dyDescent="0.3">
      <c r="D1405" t="s">
        <v>670</v>
      </c>
      <c r="E1405" t="s">
        <v>554</v>
      </c>
    </row>
    <row r="1406" spans="4:5" x14ac:dyDescent="0.3">
      <c r="D1406" t="s">
        <v>833</v>
      </c>
      <c r="E1406" t="s">
        <v>552</v>
      </c>
    </row>
    <row r="1407" spans="4:5" x14ac:dyDescent="0.3">
      <c r="D1407" t="s">
        <v>834</v>
      </c>
      <c r="E1407" t="s">
        <v>552</v>
      </c>
    </row>
    <row r="1408" spans="4:5" x14ac:dyDescent="0.3">
      <c r="D1408" t="s">
        <v>835</v>
      </c>
      <c r="E1408" t="s">
        <v>552</v>
      </c>
    </row>
    <row r="1409" spans="4:5" x14ac:dyDescent="0.3">
      <c r="D1409" t="s">
        <v>836</v>
      </c>
      <c r="E1409" t="s">
        <v>552</v>
      </c>
    </row>
    <row r="1410" spans="4:5" x14ac:dyDescent="0.3">
      <c r="D1410" t="s">
        <v>663</v>
      </c>
      <c r="E1410" t="s">
        <v>554</v>
      </c>
    </row>
    <row r="1411" spans="4:5" x14ac:dyDescent="0.3">
      <c r="D1411" t="s">
        <v>837</v>
      </c>
      <c r="E1411" t="s">
        <v>552</v>
      </c>
    </row>
    <row r="1412" spans="4:5" x14ac:dyDescent="0.3">
      <c r="D1412" t="s">
        <v>838</v>
      </c>
      <c r="E1412" t="s">
        <v>554</v>
      </c>
    </row>
    <row r="1413" spans="4:5" x14ac:dyDescent="0.3">
      <c r="D1413" t="s">
        <v>839</v>
      </c>
      <c r="E1413" t="s">
        <v>554</v>
      </c>
    </row>
    <row r="1414" spans="4:5" x14ac:dyDescent="0.3">
      <c r="D1414" t="s">
        <v>604</v>
      </c>
      <c r="E1414" t="s">
        <v>554</v>
      </c>
    </row>
    <row r="1415" spans="4:5" x14ac:dyDescent="0.3">
      <c r="D1415" t="s">
        <v>840</v>
      </c>
      <c r="E1415" t="s">
        <v>554</v>
      </c>
    </row>
    <row r="1416" spans="4:5" x14ac:dyDescent="0.3">
      <c r="D1416" t="s">
        <v>666</v>
      </c>
      <c r="E1416" t="s">
        <v>554</v>
      </c>
    </row>
    <row r="1417" spans="4:5" x14ac:dyDescent="0.3">
      <c r="D1417" t="s">
        <v>668</v>
      </c>
      <c r="E1417" t="s">
        <v>554</v>
      </c>
    </row>
    <row r="1418" spans="4:5" x14ac:dyDescent="0.3">
      <c r="D1418" t="s">
        <v>667</v>
      </c>
      <c r="E1418" t="s">
        <v>554</v>
      </c>
    </row>
    <row r="1419" spans="4:5" x14ac:dyDescent="0.3">
      <c r="D1419" t="s">
        <v>671</v>
      </c>
      <c r="E1419" t="s">
        <v>554</v>
      </c>
    </row>
    <row r="1420" spans="4:5" x14ac:dyDescent="0.3">
      <c r="D1420" t="s">
        <v>841</v>
      </c>
      <c r="E1420" t="s">
        <v>552</v>
      </c>
    </row>
    <row r="1421" spans="4:5" x14ac:dyDescent="0.3">
      <c r="D1421" t="s">
        <v>842</v>
      </c>
      <c r="E1421" t="s">
        <v>554</v>
      </c>
    </row>
    <row r="1422" spans="4:5" x14ac:dyDescent="0.3">
      <c r="D1422" t="s">
        <v>843</v>
      </c>
      <c r="E1422" t="s">
        <v>554</v>
      </c>
    </row>
    <row r="1423" spans="4:5" x14ac:dyDescent="0.3">
      <c r="D1423" t="s">
        <v>1050</v>
      </c>
      <c r="E1423" t="s">
        <v>554</v>
      </c>
    </row>
    <row r="1424" spans="4:5" x14ac:dyDescent="0.3">
      <c r="D1424" t="s">
        <v>1232</v>
      </c>
      <c r="E1424" t="s">
        <v>552</v>
      </c>
    </row>
    <row r="1425" spans="4:5" x14ac:dyDescent="0.3">
      <c r="D1425" t="s">
        <v>1043</v>
      </c>
      <c r="E1425" t="s">
        <v>554</v>
      </c>
    </row>
    <row r="1426" spans="4:5" x14ac:dyDescent="0.3">
      <c r="D1426" t="s">
        <v>1051</v>
      </c>
      <c r="E1426" t="s">
        <v>554</v>
      </c>
    </row>
    <row r="1427" spans="4:5" x14ac:dyDescent="0.3">
      <c r="D1427" t="s">
        <v>1233</v>
      </c>
      <c r="E1427" t="s">
        <v>552</v>
      </c>
    </row>
    <row r="1428" spans="4:5" x14ac:dyDescent="0.3">
      <c r="D1428" t="s">
        <v>1062</v>
      </c>
      <c r="E1428" t="s">
        <v>554</v>
      </c>
    </row>
    <row r="1429" spans="4:5" x14ac:dyDescent="0.3">
      <c r="D1429" t="s">
        <v>1257</v>
      </c>
      <c r="E1429" t="s">
        <v>552</v>
      </c>
    </row>
    <row r="1430" spans="4:5" x14ac:dyDescent="0.3">
      <c r="D1430" t="s">
        <v>844</v>
      </c>
      <c r="E1430" t="s">
        <v>552</v>
      </c>
    </row>
    <row r="1431" spans="4:5" x14ac:dyDescent="0.3">
      <c r="D1431" t="s">
        <v>845</v>
      </c>
      <c r="E1431" t="s">
        <v>549</v>
      </c>
    </row>
    <row r="1432" spans="4:5" x14ac:dyDescent="0.3">
      <c r="D1432" t="s">
        <v>846</v>
      </c>
      <c r="E1432" t="s">
        <v>549</v>
      </c>
    </row>
    <row r="1433" spans="4:5" x14ac:dyDescent="0.3">
      <c r="D1433" t="s">
        <v>608</v>
      </c>
      <c r="E1433" t="s">
        <v>549</v>
      </c>
    </row>
    <row r="1434" spans="4:5" x14ac:dyDescent="0.3">
      <c r="D1434" t="s">
        <v>847</v>
      </c>
      <c r="E1434" t="s">
        <v>549</v>
      </c>
    </row>
    <row r="1435" spans="4:5" x14ac:dyDescent="0.3">
      <c r="D1435" t="s">
        <v>848</v>
      </c>
      <c r="E1435" t="s">
        <v>549</v>
      </c>
    </row>
    <row r="1436" spans="4:5" x14ac:dyDescent="0.3">
      <c r="D1436" t="s">
        <v>849</v>
      </c>
      <c r="E1436">
        <v>0</v>
      </c>
    </row>
    <row r="1437" spans="4:5" x14ac:dyDescent="0.3">
      <c r="D1437" t="s">
        <v>694</v>
      </c>
      <c r="E1437" t="s">
        <v>549</v>
      </c>
    </row>
    <row r="1438" spans="4:5" x14ac:dyDescent="0.3">
      <c r="D1438" t="s">
        <v>698</v>
      </c>
      <c r="E1438" t="s">
        <v>549</v>
      </c>
    </row>
    <row r="1439" spans="4:5" x14ac:dyDescent="0.3">
      <c r="D1439" t="s">
        <v>850</v>
      </c>
      <c r="E1439" t="s">
        <v>549</v>
      </c>
    </row>
    <row r="1440" spans="4:5" x14ac:dyDescent="0.3">
      <c r="D1440" t="s">
        <v>851</v>
      </c>
      <c r="E1440" t="s">
        <v>549</v>
      </c>
    </row>
    <row r="1441" spans="4:5" x14ac:dyDescent="0.3">
      <c r="D1441" t="s">
        <v>700</v>
      </c>
      <c r="E1441" t="s">
        <v>549</v>
      </c>
    </row>
    <row r="1442" spans="4:5" x14ac:dyDescent="0.3">
      <c r="D1442" t="s">
        <v>852</v>
      </c>
      <c r="E1442" t="s">
        <v>549</v>
      </c>
    </row>
    <row r="1443" spans="4:5" x14ac:dyDescent="0.3">
      <c r="D1443" t="s">
        <v>853</v>
      </c>
      <c r="E1443" t="s">
        <v>549</v>
      </c>
    </row>
    <row r="1444" spans="4:5" x14ac:dyDescent="0.3">
      <c r="D1444" t="s">
        <v>854</v>
      </c>
      <c r="E1444" t="s">
        <v>553</v>
      </c>
    </row>
    <row r="1445" spans="4:5" x14ac:dyDescent="0.3">
      <c r="D1445" t="s">
        <v>855</v>
      </c>
      <c r="E1445" t="s">
        <v>549</v>
      </c>
    </row>
    <row r="1446" spans="4:5" x14ac:dyDescent="0.3">
      <c r="D1446" t="s">
        <v>856</v>
      </c>
      <c r="E1446" t="s">
        <v>549</v>
      </c>
    </row>
    <row r="1447" spans="4:5" x14ac:dyDescent="0.3">
      <c r="D1447" t="s">
        <v>857</v>
      </c>
      <c r="E1447" t="s">
        <v>549</v>
      </c>
    </row>
    <row r="1448" spans="4:5" x14ac:dyDescent="0.3">
      <c r="D1448" t="s">
        <v>661</v>
      </c>
      <c r="E1448" t="s">
        <v>549</v>
      </c>
    </row>
    <row r="1449" spans="4:5" x14ac:dyDescent="0.3">
      <c r="D1449" t="s">
        <v>664</v>
      </c>
      <c r="E1449" t="s">
        <v>549</v>
      </c>
    </row>
    <row r="1450" spans="4:5" x14ac:dyDescent="0.3">
      <c r="D1450" t="s">
        <v>858</v>
      </c>
      <c r="E1450" t="s">
        <v>545</v>
      </c>
    </row>
    <row r="1451" spans="4:5" x14ac:dyDescent="0.3">
      <c r="D1451" t="s">
        <v>859</v>
      </c>
      <c r="E1451" t="s">
        <v>545</v>
      </c>
    </row>
    <row r="1452" spans="4:5" x14ac:dyDescent="0.3">
      <c r="D1452" t="s">
        <v>860</v>
      </c>
      <c r="E1452" t="s">
        <v>552</v>
      </c>
    </row>
    <row r="1453" spans="4:5" x14ac:dyDescent="0.3">
      <c r="D1453" t="s">
        <v>861</v>
      </c>
      <c r="E1453" t="s">
        <v>552</v>
      </c>
    </row>
    <row r="1454" spans="4:5" x14ac:dyDescent="0.3">
      <c r="D1454" t="s">
        <v>862</v>
      </c>
      <c r="E1454" t="s">
        <v>552</v>
      </c>
    </row>
    <row r="1455" spans="4:5" x14ac:dyDescent="0.3">
      <c r="D1455" t="s">
        <v>863</v>
      </c>
      <c r="E1455" t="s">
        <v>545</v>
      </c>
    </row>
    <row r="1456" spans="4:5" x14ac:dyDescent="0.3">
      <c r="D1456" t="s">
        <v>864</v>
      </c>
      <c r="E1456" t="s">
        <v>552</v>
      </c>
    </row>
    <row r="1457" spans="4:5" x14ac:dyDescent="0.3">
      <c r="D1457" t="s">
        <v>1068</v>
      </c>
      <c r="E1457" t="s">
        <v>545</v>
      </c>
    </row>
    <row r="1458" spans="4:5" x14ac:dyDescent="0.3">
      <c r="D1458" t="s">
        <v>1014</v>
      </c>
      <c r="E1458" t="s">
        <v>549</v>
      </c>
    </row>
    <row r="1459" spans="4:5" x14ac:dyDescent="0.3">
      <c r="D1459" t="s">
        <v>865</v>
      </c>
      <c r="E1459" t="s">
        <v>549</v>
      </c>
    </row>
    <row r="1460" spans="4:5" x14ac:dyDescent="0.3">
      <c r="D1460" t="s">
        <v>866</v>
      </c>
      <c r="E1460" t="s">
        <v>552</v>
      </c>
    </row>
    <row r="1461" spans="4:5" x14ac:dyDescent="0.3">
      <c r="D1461" t="s">
        <v>867</v>
      </c>
      <c r="E1461" t="s">
        <v>549</v>
      </c>
    </row>
    <row r="1462" spans="4:5" x14ac:dyDescent="0.3">
      <c r="D1462" t="s">
        <v>868</v>
      </c>
      <c r="E1462" t="s">
        <v>549</v>
      </c>
    </row>
    <row r="1463" spans="4:5" x14ac:dyDescent="0.3">
      <c r="D1463" t="s">
        <v>869</v>
      </c>
      <c r="E1463" t="s">
        <v>552</v>
      </c>
    </row>
    <row r="1464" spans="4:5" x14ac:dyDescent="0.3">
      <c r="D1464" t="s">
        <v>870</v>
      </c>
      <c r="E1464" t="s">
        <v>549</v>
      </c>
    </row>
    <row r="1465" spans="4:5" x14ac:dyDescent="0.3">
      <c r="D1465" t="s">
        <v>871</v>
      </c>
      <c r="E1465" t="s">
        <v>552</v>
      </c>
    </row>
    <row r="1466" spans="4:5" x14ac:dyDescent="0.3">
      <c r="D1466" t="s">
        <v>872</v>
      </c>
      <c r="E1466" t="s">
        <v>552</v>
      </c>
    </row>
    <row r="1467" spans="4:5" x14ac:dyDescent="0.3">
      <c r="D1467" t="s">
        <v>873</v>
      </c>
      <c r="E1467" t="s">
        <v>552</v>
      </c>
    </row>
    <row r="1468" spans="4:5" x14ac:dyDescent="0.3">
      <c r="D1468" t="s">
        <v>874</v>
      </c>
      <c r="E1468" t="s">
        <v>552</v>
      </c>
    </row>
    <row r="1469" spans="4:5" x14ac:dyDescent="0.3">
      <c r="D1469" t="s">
        <v>875</v>
      </c>
      <c r="E1469" t="s">
        <v>552</v>
      </c>
    </row>
    <row r="1470" spans="4:5" x14ac:dyDescent="0.3">
      <c r="D1470" t="s">
        <v>876</v>
      </c>
      <c r="E1470" t="s">
        <v>552</v>
      </c>
    </row>
    <row r="1471" spans="4:5" x14ac:dyDescent="0.3">
      <c r="D1471" t="s">
        <v>877</v>
      </c>
      <c r="E1471" t="s">
        <v>552</v>
      </c>
    </row>
    <row r="1472" spans="4:5" x14ac:dyDescent="0.3">
      <c r="D1472" t="s">
        <v>878</v>
      </c>
      <c r="E1472" t="s">
        <v>552</v>
      </c>
    </row>
    <row r="1473" spans="4:5" x14ac:dyDescent="0.3">
      <c r="D1473" t="s">
        <v>879</v>
      </c>
      <c r="E1473" t="s">
        <v>549</v>
      </c>
    </row>
    <row r="1474" spans="4:5" x14ac:dyDescent="0.3">
      <c r="D1474" t="s">
        <v>880</v>
      </c>
      <c r="E1474" t="s">
        <v>549</v>
      </c>
    </row>
    <row r="1475" spans="4:5" x14ac:dyDescent="0.3">
      <c r="D1475" t="s">
        <v>881</v>
      </c>
      <c r="E1475" t="s">
        <v>552</v>
      </c>
    </row>
    <row r="1476" spans="4:5" x14ac:dyDescent="0.3">
      <c r="D1476" t="s">
        <v>1015</v>
      </c>
      <c r="E1476" t="s">
        <v>549</v>
      </c>
    </row>
    <row r="1477" spans="4:5" x14ac:dyDescent="0.3">
      <c r="D1477" t="s">
        <v>711</v>
      </c>
      <c r="E1477" t="s">
        <v>549</v>
      </c>
    </row>
    <row r="1478" spans="4:5" x14ac:dyDescent="0.3">
      <c r="D1478" t="s">
        <v>882</v>
      </c>
      <c r="E1478" t="s">
        <v>549</v>
      </c>
    </row>
    <row r="1479" spans="4:5" x14ac:dyDescent="0.3">
      <c r="D1479" t="s">
        <v>1071</v>
      </c>
      <c r="E1479" t="s">
        <v>549</v>
      </c>
    </row>
    <row r="1480" spans="4:5" x14ac:dyDescent="0.3">
      <c r="D1480" t="s">
        <v>719</v>
      </c>
      <c r="E1480" t="s">
        <v>549</v>
      </c>
    </row>
    <row r="1481" spans="4:5" x14ac:dyDescent="0.3">
      <c r="D1481" t="s">
        <v>883</v>
      </c>
      <c r="E1481" t="s">
        <v>549</v>
      </c>
    </row>
    <row r="1482" spans="4:5" x14ac:dyDescent="0.3">
      <c r="D1482" t="s">
        <v>884</v>
      </c>
      <c r="E1482" t="s">
        <v>552</v>
      </c>
    </row>
    <row r="1483" spans="4:5" x14ac:dyDescent="0.3">
      <c r="D1483" t="s">
        <v>712</v>
      </c>
      <c r="E1483" t="s">
        <v>549</v>
      </c>
    </row>
    <row r="1484" spans="4:5" x14ac:dyDescent="0.3">
      <c r="D1484" t="s">
        <v>885</v>
      </c>
      <c r="E1484" t="s">
        <v>549</v>
      </c>
    </row>
    <row r="1485" spans="4:5" x14ac:dyDescent="0.3">
      <c r="D1485" t="s">
        <v>886</v>
      </c>
      <c r="E1485" t="s">
        <v>549</v>
      </c>
    </row>
    <row r="1486" spans="4:5" x14ac:dyDescent="0.3">
      <c r="D1486" t="s">
        <v>887</v>
      </c>
      <c r="E1486" t="s">
        <v>552</v>
      </c>
    </row>
    <row r="1487" spans="4:5" x14ac:dyDescent="0.3">
      <c r="D1487" t="s">
        <v>888</v>
      </c>
      <c r="E1487" t="s">
        <v>549</v>
      </c>
    </row>
    <row r="1488" spans="4:5" x14ac:dyDescent="0.3">
      <c r="D1488" t="s">
        <v>988</v>
      </c>
      <c r="E1488" t="s">
        <v>549</v>
      </c>
    </row>
    <row r="1489" spans="4:5" x14ac:dyDescent="0.3">
      <c r="D1489" t="s">
        <v>889</v>
      </c>
      <c r="E1489" t="s">
        <v>549</v>
      </c>
    </row>
    <row r="1490" spans="4:5" x14ac:dyDescent="0.3">
      <c r="D1490" t="s">
        <v>890</v>
      </c>
      <c r="E1490" t="s">
        <v>549</v>
      </c>
    </row>
    <row r="1491" spans="4:5" x14ac:dyDescent="0.3">
      <c r="D1491" t="s">
        <v>1000</v>
      </c>
      <c r="E1491" t="s">
        <v>549</v>
      </c>
    </row>
    <row r="1492" spans="4:5" x14ac:dyDescent="0.3">
      <c r="D1492" t="s">
        <v>1234</v>
      </c>
      <c r="E1492" t="s">
        <v>552</v>
      </c>
    </row>
    <row r="1493" spans="4:5" x14ac:dyDescent="0.3">
      <c r="D1493" t="s">
        <v>891</v>
      </c>
      <c r="E1493" t="s">
        <v>549</v>
      </c>
    </row>
    <row r="1494" spans="4:5" x14ac:dyDescent="0.3">
      <c r="D1494" t="s">
        <v>892</v>
      </c>
      <c r="E1494" t="s">
        <v>549</v>
      </c>
    </row>
    <row r="1495" spans="4:5" x14ac:dyDescent="0.3">
      <c r="D1495" t="s">
        <v>893</v>
      </c>
      <c r="E1495" t="s">
        <v>552</v>
      </c>
    </row>
    <row r="1496" spans="4:5" x14ac:dyDescent="0.3">
      <c r="D1496" t="s">
        <v>894</v>
      </c>
      <c r="E1496" t="s">
        <v>552</v>
      </c>
    </row>
    <row r="1497" spans="4:5" x14ac:dyDescent="0.3">
      <c r="D1497" t="s">
        <v>895</v>
      </c>
      <c r="E1497" t="s">
        <v>552</v>
      </c>
    </row>
    <row r="1498" spans="4:5" x14ac:dyDescent="0.3">
      <c r="D1498" t="s">
        <v>896</v>
      </c>
      <c r="E1498" t="s">
        <v>552</v>
      </c>
    </row>
    <row r="1499" spans="4:5" x14ac:dyDescent="0.3">
      <c r="D1499" t="s">
        <v>1235</v>
      </c>
      <c r="E1499" t="s">
        <v>552</v>
      </c>
    </row>
    <row r="1500" spans="4:5" x14ac:dyDescent="0.3">
      <c r="D1500" t="s">
        <v>897</v>
      </c>
      <c r="E1500" t="s">
        <v>552</v>
      </c>
    </row>
    <row r="1501" spans="4:5" x14ac:dyDescent="0.3">
      <c r="D1501" t="s">
        <v>1236</v>
      </c>
      <c r="E1501" t="s">
        <v>552</v>
      </c>
    </row>
    <row r="1502" spans="4:5" x14ac:dyDescent="0.3">
      <c r="D1502" t="s">
        <v>898</v>
      </c>
      <c r="E1502" t="s">
        <v>554</v>
      </c>
    </row>
    <row r="1503" spans="4:5" x14ac:dyDescent="0.3">
      <c r="D1503" t="s">
        <v>899</v>
      </c>
      <c r="E1503" t="s">
        <v>552</v>
      </c>
    </row>
    <row r="1504" spans="4:5" x14ac:dyDescent="0.3">
      <c r="D1504" t="s">
        <v>900</v>
      </c>
      <c r="E1504" t="s">
        <v>552</v>
      </c>
    </row>
    <row r="1505" spans="4:5" x14ac:dyDescent="0.3">
      <c r="D1505" t="s">
        <v>901</v>
      </c>
      <c r="E1505" t="s">
        <v>552</v>
      </c>
    </row>
    <row r="1506" spans="4:5" x14ac:dyDescent="0.3">
      <c r="D1506" t="s">
        <v>902</v>
      </c>
      <c r="E1506" t="s">
        <v>552</v>
      </c>
    </row>
    <row r="1507" spans="4:5" x14ac:dyDescent="0.3">
      <c r="D1507" t="s">
        <v>903</v>
      </c>
      <c r="E1507" t="s">
        <v>552</v>
      </c>
    </row>
    <row r="1508" spans="4:5" x14ac:dyDescent="0.3">
      <c r="D1508" t="s">
        <v>904</v>
      </c>
      <c r="E1508" t="s">
        <v>547</v>
      </c>
    </row>
    <row r="1509" spans="4:5" x14ac:dyDescent="0.3">
      <c r="D1509" t="s">
        <v>905</v>
      </c>
      <c r="E1509" t="s">
        <v>552</v>
      </c>
    </row>
    <row r="1510" spans="4:5" x14ac:dyDescent="0.3">
      <c r="D1510" t="s">
        <v>1069</v>
      </c>
      <c r="E1510" t="s">
        <v>549</v>
      </c>
    </row>
    <row r="1511" spans="4:5" x14ac:dyDescent="0.3">
      <c r="D1511" t="s">
        <v>1237</v>
      </c>
      <c r="E1511">
        <v>0</v>
      </c>
    </row>
    <row r="1512" spans="4:5" x14ac:dyDescent="0.3">
      <c r="D1512" t="s">
        <v>906</v>
      </c>
      <c r="E1512" t="s">
        <v>545</v>
      </c>
    </row>
    <row r="1513" spans="4:5" x14ac:dyDescent="0.3">
      <c r="D1513" t="s">
        <v>907</v>
      </c>
      <c r="E1513" t="s">
        <v>545</v>
      </c>
    </row>
    <row r="1514" spans="4:5" x14ac:dyDescent="0.3">
      <c r="D1514" t="s">
        <v>908</v>
      </c>
      <c r="E1514" t="s">
        <v>545</v>
      </c>
    </row>
    <row r="1515" spans="4:5" x14ac:dyDescent="0.3">
      <c r="D1515" t="s">
        <v>909</v>
      </c>
      <c r="E1515" t="s">
        <v>552</v>
      </c>
    </row>
    <row r="1516" spans="4:5" x14ac:dyDescent="0.3">
      <c r="D1516" t="s">
        <v>910</v>
      </c>
      <c r="E1516" t="s">
        <v>545</v>
      </c>
    </row>
    <row r="1517" spans="4:5" x14ac:dyDescent="0.3">
      <c r="D1517" t="s">
        <v>911</v>
      </c>
      <c r="E1517" t="s">
        <v>545</v>
      </c>
    </row>
    <row r="1518" spans="4:5" x14ac:dyDescent="0.3">
      <c r="D1518" t="s">
        <v>713</v>
      </c>
      <c r="E1518" t="s">
        <v>545</v>
      </c>
    </row>
    <row r="1519" spans="4:5" x14ac:dyDescent="0.3">
      <c r="D1519" t="s">
        <v>912</v>
      </c>
      <c r="E1519" t="s">
        <v>545</v>
      </c>
    </row>
    <row r="1520" spans="4:5" x14ac:dyDescent="0.3">
      <c r="D1520" t="s">
        <v>913</v>
      </c>
      <c r="E1520" t="s">
        <v>553</v>
      </c>
    </row>
    <row r="1521" spans="4:5" x14ac:dyDescent="0.3">
      <c r="D1521" t="s">
        <v>914</v>
      </c>
      <c r="E1521" t="s">
        <v>552</v>
      </c>
    </row>
    <row r="1522" spans="4:5" x14ac:dyDescent="0.3">
      <c r="D1522" t="s">
        <v>915</v>
      </c>
      <c r="E1522" t="s">
        <v>552</v>
      </c>
    </row>
    <row r="1523" spans="4:5" x14ac:dyDescent="0.3">
      <c r="D1523" t="s">
        <v>714</v>
      </c>
      <c r="E1523" t="s">
        <v>553</v>
      </c>
    </row>
    <row r="1524" spans="4:5" x14ac:dyDescent="0.3">
      <c r="D1524" t="s">
        <v>916</v>
      </c>
      <c r="E1524" t="s">
        <v>553</v>
      </c>
    </row>
    <row r="1525" spans="4:5" x14ac:dyDescent="0.3">
      <c r="D1525" t="s">
        <v>715</v>
      </c>
      <c r="E1525" t="s">
        <v>553</v>
      </c>
    </row>
    <row r="1526" spans="4:5" x14ac:dyDescent="0.3">
      <c r="D1526" t="s">
        <v>716</v>
      </c>
      <c r="E1526" t="s">
        <v>553</v>
      </c>
    </row>
    <row r="1527" spans="4:5" x14ac:dyDescent="0.3">
      <c r="D1527" t="s">
        <v>717</v>
      </c>
      <c r="E1527" t="s">
        <v>553</v>
      </c>
    </row>
    <row r="1528" spans="4:5" x14ac:dyDescent="0.3">
      <c r="D1528" t="s">
        <v>917</v>
      </c>
      <c r="E1528" t="s">
        <v>553</v>
      </c>
    </row>
    <row r="1529" spans="4:5" x14ac:dyDescent="0.3">
      <c r="D1529" t="s">
        <v>1076</v>
      </c>
      <c r="E1529" t="s">
        <v>547</v>
      </c>
    </row>
    <row r="1530" spans="4:5" x14ac:dyDescent="0.3">
      <c r="D1530" t="s">
        <v>718</v>
      </c>
      <c r="E1530" t="s">
        <v>549</v>
      </c>
    </row>
    <row r="1531" spans="4:5" x14ac:dyDescent="0.3">
      <c r="D1531" t="s">
        <v>918</v>
      </c>
      <c r="E1531" t="s">
        <v>545</v>
      </c>
    </row>
    <row r="1532" spans="4:5" x14ac:dyDescent="0.3">
      <c r="D1532" t="s">
        <v>919</v>
      </c>
      <c r="E1532" t="s">
        <v>545</v>
      </c>
    </row>
    <row r="1533" spans="4:5" x14ac:dyDescent="0.3">
      <c r="D1533" t="s">
        <v>920</v>
      </c>
      <c r="E1533" t="s">
        <v>552</v>
      </c>
    </row>
    <row r="1534" spans="4:5" x14ac:dyDescent="0.3">
      <c r="D1534" t="s">
        <v>921</v>
      </c>
      <c r="E1534" t="s">
        <v>552</v>
      </c>
    </row>
    <row r="1535" spans="4:5" x14ac:dyDescent="0.3">
      <c r="D1535" t="s">
        <v>922</v>
      </c>
      <c r="E1535" t="s">
        <v>553</v>
      </c>
    </row>
    <row r="1536" spans="4:5" x14ac:dyDescent="0.3">
      <c r="D1536" t="s">
        <v>923</v>
      </c>
      <c r="E1536" t="s">
        <v>552</v>
      </c>
    </row>
    <row r="1537" spans="4:5" x14ac:dyDescent="0.3">
      <c r="D1537" t="s">
        <v>924</v>
      </c>
      <c r="E1537" t="s">
        <v>552</v>
      </c>
    </row>
    <row r="1538" spans="4:5" x14ac:dyDescent="0.3">
      <c r="D1538" t="s">
        <v>925</v>
      </c>
      <c r="E1538" t="s">
        <v>565</v>
      </c>
    </row>
    <row r="1539" spans="4:5" x14ac:dyDescent="0.3">
      <c r="D1539" t="s">
        <v>926</v>
      </c>
      <c r="E1539" t="s">
        <v>552</v>
      </c>
    </row>
    <row r="1540" spans="4:5" x14ac:dyDescent="0.3">
      <c r="D1540" t="s">
        <v>927</v>
      </c>
      <c r="E1540" t="s">
        <v>552</v>
      </c>
    </row>
    <row r="1541" spans="4:5" x14ac:dyDescent="0.3">
      <c r="D1541" t="s">
        <v>928</v>
      </c>
      <c r="E1541" t="s">
        <v>552</v>
      </c>
    </row>
    <row r="1542" spans="4:5" x14ac:dyDescent="0.3">
      <c r="D1542" t="s">
        <v>929</v>
      </c>
      <c r="E1542" t="s">
        <v>552</v>
      </c>
    </row>
    <row r="1543" spans="4:5" x14ac:dyDescent="0.3">
      <c r="D1543" t="s">
        <v>1238</v>
      </c>
      <c r="E1543" t="s">
        <v>552</v>
      </c>
    </row>
    <row r="1544" spans="4:5" x14ac:dyDescent="0.3">
      <c r="D1544" t="s">
        <v>930</v>
      </c>
      <c r="E1544" t="s">
        <v>552</v>
      </c>
    </row>
    <row r="1545" spans="4:5" x14ac:dyDescent="0.3">
      <c r="D1545" t="s">
        <v>931</v>
      </c>
      <c r="E1545" t="s">
        <v>552</v>
      </c>
    </row>
    <row r="1546" spans="4:5" x14ac:dyDescent="0.3">
      <c r="D1546" t="s">
        <v>932</v>
      </c>
      <c r="E1546" t="s">
        <v>552</v>
      </c>
    </row>
    <row r="1547" spans="4:5" x14ac:dyDescent="0.3">
      <c r="D1547" t="s">
        <v>933</v>
      </c>
      <c r="E1547" t="s">
        <v>552</v>
      </c>
    </row>
    <row r="1548" spans="4:5" x14ac:dyDescent="0.3">
      <c r="D1548" t="s">
        <v>934</v>
      </c>
      <c r="E1548" t="s">
        <v>552</v>
      </c>
    </row>
    <row r="1549" spans="4:5" x14ac:dyDescent="0.3">
      <c r="D1549" t="s">
        <v>935</v>
      </c>
      <c r="E1549" t="s">
        <v>552</v>
      </c>
    </row>
    <row r="1550" spans="4:5" x14ac:dyDescent="0.3">
      <c r="D1550" t="s">
        <v>936</v>
      </c>
      <c r="E1550" t="s">
        <v>552</v>
      </c>
    </row>
    <row r="1551" spans="4:5" x14ac:dyDescent="0.3">
      <c r="D1551" t="s">
        <v>937</v>
      </c>
      <c r="E1551" t="s">
        <v>552</v>
      </c>
    </row>
    <row r="1552" spans="4:5" x14ac:dyDescent="0.3">
      <c r="D1552" t="s">
        <v>938</v>
      </c>
      <c r="E1552" t="s">
        <v>552</v>
      </c>
    </row>
    <row r="1553" spans="4:5" x14ac:dyDescent="0.3">
      <c r="D1553" t="s">
        <v>939</v>
      </c>
      <c r="E1553" t="s">
        <v>552</v>
      </c>
    </row>
    <row r="1554" spans="4:5" x14ac:dyDescent="0.3">
      <c r="D1554" t="s">
        <v>940</v>
      </c>
      <c r="E1554" t="s">
        <v>552</v>
      </c>
    </row>
    <row r="1555" spans="4:5" x14ac:dyDescent="0.3">
      <c r="D1555" t="s">
        <v>1239</v>
      </c>
      <c r="E1555" t="s">
        <v>552</v>
      </c>
    </row>
    <row r="1556" spans="4:5" x14ac:dyDescent="0.3">
      <c r="D1556" t="s">
        <v>1258</v>
      </c>
      <c r="E1556" t="s">
        <v>552</v>
      </c>
    </row>
    <row r="1557" spans="4:5" x14ac:dyDescent="0.3">
      <c r="D1557" t="s">
        <v>941</v>
      </c>
      <c r="E1557" t="s">
        <v>552</v>
      </c>
    </row>
    <row r="1558" spans="4:5" x14ac:dyDescent="0.3">
      <c r="D1558" t="s">
        <v>942</v>
      </c>
      <c r="E1558" t="s">
        <v>565</v>
      </c>
    </row>
    <row r="1559" spans="4:5" x14ac:dyDescent="0.3">
      <c r="D1559" t="s">
        <v>943</v>
      </c>
      <c r="E1559" t="s">
        <v>552</v>
      </c>
    </row>
    <row r="1560" spans="4:5" x14ac:dyDescent="0.3">
      <c r="D1560" t="s">
        <v>944</v>
      </c>
      <c r="E1560" t="s">
        <v>552</v>
      </c>
    </row>
    <row r="1561" spans="4:5" x14ac:dyDescent="0.3">
      <c r="D1561" t="s">
        <v>945</v>
      </c>
      <c r="E1561" t="s">
        <v>552</v>
      </c>
    </row>
    <row r="1562" spans="4:5" x14ac:dyDescent="0.3">
      <c r="D1562" t="s">
        <v>946</v>
      </c>
      <c r="E1562" t="s">
        <v>565</v>
      </c>
    </row>
    <row r="1563" spans="4:5" x14ac:dyDescent="0.3">
      <c r="D1563" t="s">
        <v>947</v>
      </c>
      <c r="E1563" t="s">
        <v>552</v>
      </c>
    </row>
    <row r="1564" spans="4:5" x14ac:dyDescent="0.3">
      <c r="D1564" t="s">
        <v>948</v>
      </c>
      <c r="E1564" t="s">
        <v>565</v>
      </c>
    </row>
    <row r="1565" spans="4:5" x14ac:dyDescent="0.3">
      <c r="D1565" t="s">
        <v>949</v>
      </c>
      <c r="E1565" t="s">
        <v>565</v>
      </c>
    </row>
    <row r="1566" spans="4:5" x14ac:dyDescent="0.3">
      <c r="D1566" t="s">
        <v>950</v>
      </c>
      <c r="E1566" t="s">
        <v>565</v>
      </c>
    </row>
    <row r="1567" spans="4:5" x14ac:dyDescent="0.3">
      <c r="D1567" t="s">
        <v>951</v>
      </c>
      <c r="E1567" t="s">
        <v>565</v>
      </c>
    </row>
    <row r="1568" spans="4:5" x14ac:dyDescent="0.3">
      <c r="D1568" t="s">
        <v>952</v>
      </c>
      <c r="E1568" t="s">
        <v>565</v>
      </c>
    </row>
    <row r="1569" spans="4:5" x14ac:dyDescent="0.3">
      <c r="D1569" t="s">
        <v>953</v>
      </c>
      <c r="E1569" t="s">
        <v>552</v>
      </c>
    </row>
    <row r="1570" spans="4:5" x14ac:dyDescent="0.3">
      <c r="D1570" t="s">
        <v>954</v>
      </c>
      <c r="E1570" t="s">
        <v>552</v>
      </c>
    </row>
    <row r="1571" spans="4:5" x14ac:dyDescent="0.3">
      <c r="D1571" t="s">
        <v>1075</v>
      </c>
      <c r="E1571" t="s">
        <v>565</v>
      </c>
    </row>
    <row r="1572" spans="4:5" x14ac:dyDescent="0.3">
      <c r="D1572" t="s">
        <v>955</v>
      </c>
      <c r="E1572" t="s">
        <v>552</v>
      </c>
    </row>
    <row r="1573" spans="4:5" x14ac:dyDescent="0.3">
      <c r="D1573" t="s">
        <v>956</v>
      </c>
      <c r="E1573" t="s">
        <v>552</v>
      </c>
    </row>
    <row r="1574" spans="4:5" x14ac:dyDescent="0.3">
      <c r="D1574" t="s">
        <v>957</v>
      </c>
      <c r="E1574" t="s">
        <v>552</v>
      </c>
    </row>
    <row r="1575" spans="4:5" x14ac:dyDescent="0.3">
      <c r="D1575" t="s">
        <v>958</v>
      </c>
      <c r="E1575" t="s">
        <v>552</v>
      </c>
    </row>
    <row r="1576" spans="4:5" x14ac:dyDescent="0.3">
      <c r="D1576" t="s">
        <v>959</v>
      </c>
      <c r="E1576" t="s">
        <v>565</v>
      </c>
    </row>
    <row r="1577" spans="4:5" x14ac:dyDescent="0.3">
      <c r="D1577" t="s">
        <v>960</v>
      </c>
      <c r="E1577" t="s">
        <v>552</v>
      </c>
    </row>
    <row r="1578" spans="4:5" x14ac:dyDescent="0.3">
      <c r="D1578" t="s">
        <v>961</v>
      </c>
      <c r="E1578" t="s">
        <v>552</v>
      </c>
    </row>
    <row r="1579" spans="4:5" x14ac:dyDescent="0.3">
      <c r="D1579" t="s">
        <v>962</v>
      </c>
      <c r="E1579" t="s">
        <v>552</v>
      </c>
    </row>
    <row r="1580" spans="4:5" x14ac:dyDescent="0.3">
      <c r="D1580" t="s">
        <v>963</v>
      </c>
      <c r="E1580" t="s">
        <v>552</v>
      </c>
    </row>
    <row r="1581" spans="4:5" x14ac:dyDescent="0.3">
      <c r="D1581" t="s">
        <v>1052</v>
      </c>
      <c r="E1581" t="s">
        <v>563</v>
      </c>
    </row>
    <row r="1582" spans="4:5" x14ac:dyDescent="0.3">
      <c r="D1582" t="s">
        <v>1240</v>
      </c>
      <c r="E1582" t="s">
        <v>552</v>
      </c>
    </row>
    <row r="1583" spans="4:5" x14ac:dyDescent="0.3">
      <c r="D1583" t="s">
        <v>1241</v>
      </c>
      <c r="E1583" t="s">
        <v>552</v>
      </c>
    </row>
    <row r="1584" spans="4:5" x14ac:dyDescent="0.3">
      <c r="D1584" t="s">
        <v>964</v>
      </c>
      <c r="E1584" t="s">
        <v>552</v>
      </c>
    </row>
    <row r="1585" spans="4:5" x14ac:dyDescent="0.3">
      <c r="D1585" t="s">
        <v>965</v>
      </c>
      <c r="E1585" t="s">
        <v>552</v>
      </c>
    </row>
    <row r="1586" spans="4:5" x14ac:dyDescent="0.3">
      <c r="D1586" t="s">
        <v>966</v>
      </c>
      <c r="E1586" t="s">
        <v>552</v>
      </c>
    </row>
    <row r="1587" spans="4:5" x14ac:dyDescent="0.3">
      <c r="D1587" t="s">
        <v>967</v>
      </c>
      <c r="E1587" t="s">
        <v>552</v>
      </c>
    </row>
    <row r="1588" spans="4:5" x14ac:dyDescent="0.3">
      <c r="D1588" t="s">
        <v>968</v>
      </c>
      <c r="E1588" t="s">
        <v>552</v>
      </c>
    </row>
    <row r="1589" spans="4:5" x14ac:dyDescent="0.3">
      <c r="D1589" t="s">
        <v>969</v>
      </c>
      <c r="E1589" t="s">
        <v>552</v>
      </c>
    </row>
    <row r="1590" spans="4:5" x14ac:dyDescent="0.3">
      <c r="D1590" t="s">
        <v>970</v>
      </c>
      <c r="E1590" t="s">
        <v>552</v>
      </c>
    </row>
    <row r="1591" spans="4:5" x14ac:dyDescent="0.3">
      <c r="D1591" t="s">
        <v>971</v>
      </c>
      <c r="E1591" t="s">
        <v>552</v>
      </c>
    </row>
    <row r="1592" spans="4:5" x14ac:dyDescent="0.3">
      <c r="D1592" t="s">
        <v>972</v>
      </c>
      <c r="E1592" t="s">
        <v>552</v>
      </c>
    </row>
    <row r="1593" spans="4:5" x14ac:dyDescent="0.3">
      <c r="D1593" t="s">
        <v>973</v>
      </c>
      <c r="E1593" t="s">
        <v>552</v>
      </c>
    </row>
    <row r="1594" spans="4:5" x14ac:dyDescent="0.3">
      <c r="D1594" t="s">
        <v>974</v>
      </c>
      <c r="E1594" t="s">
        <v>552</v>
      </c>
    </row>
    <row r="1595" spans="4:5" x14ac:dyDescent="0.3">
      <c r="D1595" t="s">
        <v>975</v>
      </c>
      <c r="E1595" t="s">
        <v>552</v>
      </c>
    </row>
    <row r="1596" spans="4:5" x14ac:dyDescent="0.3">
      <c r="D1596" t="s">
        <v>976</v>
      </c>
      <c r="E1596" t="s">
        <v>552</v>
      </c>
    </row>
    <row r="1597" spans="4:5" x14ac:dyDescent="0.3">
      <c r="D1597" t="s">
        <v>977</v>
      </c>
      <c r="E1597" t="s">
        <v>552</v>
      </c>
    </row>
    <row r="1598" spans="4:5" x14ac:dyDescent="0.3">
      <c r="D1598" t="s">
        <v>1242</v>
      </c>
      <c r="E1598" t="s">
        <v>552</v>
      </c>
    </row>
    <row r="1599" spans="4:5" x14ac:dyDescent="0.3">
      <c r="D1599" t="s">
        <v>1243</v>
      </c>
      <c r="E1599" t="s">
        <v>552</v>
      </c>
    </row>
    <row r="1600" spans="4:5" x14ac:dyDescent="0.3">
      <c r="D1600" t="s">
        <v>1244</v>
      </c>
      <c r="E1600" t="s">
        <v>552</v>
      </c>
    </row>
    <row r="1601" spans="4:5" x14ac:dyDescent="0.3">
      <c r="D1601" t="s">
        <v>978</v>
      </c>
      <c r="E1601" t="s">
        <v>552</v>
      </c>
    </row>
    <row r="1602" spans="4:5" x14ac:dyDescent="0.3">
      <c r="D1602" t="s">
        <v>979</v>
      </c>
      <c r="E1602" t="s">
        <v>552</v>
      </c>
    </row>
    <row r="1603" spans="4:5" x14ac:dyDescent="0.3">
      <c r="D1603" t="s">
        <v>1245</v>
      </c>
      <c r="E1603" t="s">
        <v>552</v>
      </c>
    </row>
    <row r="1604" spans="4:5" x14ac:dyDescent="0.3">
      <c r="D1604" t="s">
        <v>980</v>
      </c>
      <c r="E1604" t="s">
        <v>563</v>
      </c>
    </row>
    <row r="1605" spans="4:5" x14ac:dyDescent="0.3">
      <c r="D1605" t="s">
        <v>981</v>
      </c>
      <c r="E1605" t="s">
        <v>552</v>
      </c>
    </row>
    <row r="1606" spans="4:5" x14ac:dyDescent="0.3">
      <c r="D1606" t="s">
        <v>982</v>
      </c>
      <c r="E1606" t="s">
        <v>552</v>
      </c>
    </row>
    <row r="1607" spans="4:5" x14ac:dyDescent="0.3">
      <c r="D1607" t="s">
        <v>983</v>
      </c>
      <c r="E1607" t="s">
        <v>563</v>
      </c>
    </row>
    <row r="1608" spans="4:5" x14ac:dyDescent="0.3">
      <c r="D1608" t="s">
        <v>984</v>
      </c>
      <c r="E1608" t="s">
        <v>552</v>
      </c>
    </row>
    <row r="1609" spans="4:5" x14ac:dyDescent="0.3">
      <c r="D1609" t="s">
        <v>985</v>
      </c>
      <c r="E1609" t="s">
        <v>563</v>
      </c>
    </row>
    <row r="1610" spans="4:5" x14ac:dyDescent="0.3">
      <c r="D1610" t="s">
        <v>573</v>
      </c>
      <c r="E1610" t="s">
        <v>561</v>
      </c>
    </row>
    <row r="1611" spans="4:5" x14ac:dyDescent="0.3">
      <c r="D1611" t="s">
        <v>1016</v>
      </c>
      <c r="E1611" t="s">
        <v>561</v>
      </c>
    </row>
    <row r="1612" spans="4:5" x14ac:dyDescent="0.3">
      <c r="D1612" t="s">
        <v>1017</v>
      </c>
      <c r="E1612" t="s">
        <v>561</v>
      </c>
    </row>
    <row r="1613" spans="4:5" x14ac:dyDescent="0.3">
      <c r="D1613" t="s">
        <v>1018</v>
      </c>
      <c r="E1613" t="s">
        <v>561</v>
      </c>
    </row>
    <row r="1614" spans="4:5" x14ac:dyDescent="0.3">
      <c r="D1614" t="s">
        <v>1019</v>
      </c>
      <c r="E1614" t="s">
        <v>561</v>
      </c>
    </row>
    <row r="1615" spans="4:5" x14ac:dyDescent="0.3">
      <c r="D1615" t="s">
        <v>1020</v>
      </c>
      <c r="E1615" t="s">
        <v>561</v>
      </c>
    </row>
    <row r="1616" spans="4:5" x14ac:dyDescent="0.3">
      <c r="D1616" t="s">
        <v>1021</v>
      </c>
      <c r="E1616" t="s">
        <v>561</v>
      </c>
    </row>
    <row r="1617" spans="4:5" x14ac:dyDescent="0.3">
      <c r="D1617" t="s">
        <v>1021</v>
      </c>
      <c r="E1617" t="s">
        <v>561</v>
      </c>
    </row>
    <row r="1618" spans="4:5" x14ac:dyDescent="0.3">
      <c r="D1618" t="s">
        <v>1022</v>
      </c>
      <c r="E1618" t="s">
        <v>561</v>
      </c>
    </row>
    <row r="1619" spans="4:5" x14ac:dyDescent="0.3">
      <c r="D1619" t="s">
        <v>1053</v>
      </c>
      <c r="E1619" t="s">
        <v>561</v>
      </c>
    </row>
    <row r="1620" spans="4:5" x14ac:dyDescent="0.3">
      <c r="D1620" t="s">
        <v>524</v>
      </c>
      <c r="E1620" t="s">
        <v>561</v>
      </c>
    </row>
    <row r="1621" spans="4:5" x14ac:dyDescent="0.3">
      <c r="D1621" t="s">
        <v>524</v>
      </c>
      <c r="E1621" t="s">
        <v>561</v>
      </c>
    </row>
    <row r="1622" spans="4:5" x14ac:dyDescent="0.3">
      <c r="D1622" t="s">
        <v>524</v>
      </c>
      <c r="E1622" t="s">
        <v>561</v>
      </c>
    </row>
    <row r="1623" spans="4:5" x14ac:dyDescent="0.3">
      <c r="D1623" t="s">
        <v>524</v>
      </c>
      <c r="E1623" t="s">
        <v>561</v>
      </c>
    </row>
    <row r="1624" spans="4:5" x14ac:dyDescent="0.3">
      <c r="D1624" t="s">
        <v>524</v>
      </c>
      <c r="E1624" t="s">
        <v>561</v>
      </c>
    </row>
    <row r="1625" spans="4:5" x14ac:dyDescent="0.3">
      <c r="D1625" t="s">
        <v>524</v>
      </c>
      <c r="E1625" t="s">
        <v>561</v>
      </c>
    </row>
    <row r="1626" spans="4:5" x14ac:dyDescent="0.3">
      <c r="D1626" t="s">
        <v>524</v>
      </c>
      <c r="E1626" t="s">
        <v>561</v>
      </c>
    </row>
    <row r="1627" spans="4:5" x14ac:dyDescent="0.3">
      <c r="D1627" t="s">
        <v>524</v>
      </c>
      <c r="E1627" t="s">
        <v>561</v>
      </c>
    </row>
    <row r="1628" spans="4:5" x14ac:dyDescent="0.3">
      <c r="D1628" t="s">
        <v>524</v>
      </c>
      <c r="E1628" t="s">
        <v>561</v>
      </c>
    </row>
    <row r="1629" spans="4:5" x14ac:dyDescent="0.3">
      <c r="D1629" t="s">
        <v>572</v>
      </c>
      <c r="E1629" t="s">
        <v>561</v>
      </c>
    </row>
    <row r="1630" spans="4:5" x14ac:dyDescent="0.3">
      <c r="D1630" t="s">
        <v>579</v>
      </c>
      <c r="E1630" t="s">
        <v>561</v>
      </c>
    </row>
    <row r="1631" spans="4:5" x14ac:dyDescent="0.3">
      <c r="D1631" t="s">
        <v>1078</v>
      </c>
      <c r="E1631" t="s">
        <v>561</v>
      </c>
    </row>
    <row r="1632" spans="4:5" x14ac:dyDescent="0.3">
      <c r="D1632" t="s">
        <v>1078</v>
      </c>
      <c r="E1632" t="s">
        <v>561</v>
      </c>
    </row>
    <row r="1633" spans="4:5" x14ac:dyDescent="0.3">
      <c r="D1633" t="s">
        <v>1078</v>
      </c>
      <c r="E1633" t="s">
        <v>561</v>
      </c>
    </row>
    <row r="1634" spans="4:5" x14ac:dyDescent="0.3">
      <c r="D1634" t="s">
        <v>1078</v>
      </c>
      <c r="E1634" t="s">
        <v>561</v>
      </c>
    </row>
    <row r="1635" spans="4:5" x14ac:dyDescent="0.3">
      <c r="D1635" t="s">
        <v>1078</v>
      </c>
      <c r="E1635" t="s">
        <v>561</v>
      </c>
    </row>
    <row r="1636" spans="4:5" x14ac:dyDescent="0.3">
      <c r="D1636" t="s">
        <v>1078</v>
      </c>
      <c r="E1636" t="s">
        <v>561</v>
      </c>
    </row>
    <row r="1637" spans="4:5" x14ac:dyDescent="0.3">
      <c r="D1637" t="s">
        <v>1254</v>
      </c>
      <c r="E1637">
        <v>0</v>
      </c>
    </row>
    <row r="1638" spans="4:5" x14ac:dyDescent="0.3">
      <c r="D1638" t="s">
        <v>534</v>
      </c>
      <c r="E1638" t="s">
        <v>561</v>
      </c>
    </row>
    <row r="1639" spans="4:5" x14ac:dyDescent="0.3">
      <c r="D1639" t="s">
        <v>568</v>
      </c>
      <c r="E1639" t="s">
        <v>561</v>
      </c>
    </row>
    <row r="1640" spans="4:5" x14ac:dyDescent="0.3">
      <c r="D1640" t="s">
        <v>699</v>
      </c>
      <c r="E1640" t="s">
        <v>561</v>
      </c>
    </row>
    <row r="1641" spans="4:5" x14ac:dyDescent="0.3">
      <c r="D1641" t="s">
        <v>1001</v>
      </c>
      <c r="E1641" t="s">
        <v>561</v>
      </c>
    </row>
    <row r="1642" spans="4:5" x14ac:dyDescent="0.3">
      <c r="D1642" t="s">
        <v>541</v>
      </c>
      <c r="E1642" t="s">
        <v>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3455f6-f4d2-4d3f-b12d-05525b38ae6e" xsi:nil="true"/>
    <lcf76f155ced4ddcb4097134ff3c332f xmlns="070bedcf-4de7-4e06-90e7-786533e333f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EA26A4BAEB044EA09BACD91AD87CDA" ma:contentTypeVersion="14" ma:contentTypeDescription="Crear nuevo documento." ma:contentTypeScope="" ma:versionID="c6c9d3bb5c4d4b9956ef8841386f5361">
  <xsd:schema xmlns:xsd="http://www.w3.org/2001/XMLSchema" xmlns:xs="http://www.w3.org/2001/XMLSchema" xmlns:p="http://schemas.microsoft.com/office/2006/metadata/properties" xmlns:ns2="070bedcf-4de7-4e06-90e7-786533e333ff" xmlns:ns3="ab3455f6-f4d2-4d3f-b12d-05525b38ae6e" targetNamespace="http://schemas.microsoft.com/office/2006/metadata/properties" ma:root="true" ma:fieldsID="999c98da2f945cdf309be16fdd1fa4cd" ns2:_="" ns3:_="">
    <xsd:import namespace="070bedcf-4de7-4e06-90e7-786533e333ff"/>
    <xsd:import namespace="ab3455f6-f4d2-4d3f-b12d-05525b38ae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bedcf-4de7-4e06-90e7-786533e33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455f6-f4d2-4d3f-b12d-05525b38ae6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74dd26e-c22c-48cc-8778-82b022a92dce}" ma:internalName="TaxCatchAll" ma:showField="CatchAllData" ma:web="ab3455f6-f4d2-4d3f-b12d-05525b38ae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991D49-0917-4AB1-B898-B710E60F8C02}">
  <ds:schemaRefs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070bedcf-4de7-4e06-90e7-786533e333ff"/>
    <ds:schemaRef ds:uri="ab3455f6-f4d2-4d3f-b12d-05525b38ae6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E15C4C6-EA7D-47AB-99D4-2AFE7F01A6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4DD595-8516-4A95-89A2-D40D22E72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bedcf-4de7-4e06-90e7-786533e333ff"/>
    <ds:schemaRef ds:uri="ab3455f6-f4d2-4d3f-b12d-05525b38ae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</vt:lpstr>
      <vt:lpstr>SELECTS</vt:lpstr>
      <vt:lpstr>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Alexis Ccopacondori Vargas</dc:creator>
  <cp:lastModifiedBy>Ccopacondori Vargas, Sebastian Alexis</cp:lastModifiedBy>
  <dcterms:created xsi:type="dcterms:W3CDTF">2024-08-27T07:28:20Z</dcterms:created>
  <dcterms:modified xsi:type="dcterms:W3CDTF">2026-08-14T16:33:36Z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0x0101002FEA26A4BAEB044EA09BACD91AD87CDA</vt:lpwstr>
  </property>
  <property fmtid="{D5CDD505-2E9C-101B-9397-08002B2CF9AE}" pid="3" name="MediaServiceImageTags">
    <vt:lpwstr/>
  </property>
</Properties>
</file>