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3" documentId="13_ncr:1_{7307E9E3-5F8C-4C29-960A-6FFDD9580780}" xr6:coauthVersionLast="47" xr6:coauthVersionMax="47" xr10:uidLastSave="{7E28D924-39F8-49CA-9CAF-E013DEFAF5D2}"/>
  <bookViews>
    <workbookView xWindow="-110" yWindow="-110" windowWidth="19420" windowHeight="10300" xr2:uid="{DF771E32-C0DF-498B-BE0C-163E54D20C50}"/>
  </bookViews>
  <sheets>
    <sheet name="Formato Líneas" sheetId="2" r:id="rId1"/>
  </sheets>
  <externalReferences>
    <externalReference r:id="rId2"/>
  </externalReferences>
  <definedNames>
    <definedName name="_xlnm._FilterDatabase" localSheetId="0" hidden="1">'Formato Líneas'!$B$1:$T$11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2" l="1"/>
  <c r="Q10" i="2"/>
  <c r="P10" i="2"/>
  <c r="O10" i="2"/>
  <c r="L10" i="2"/>
  <c r="C10" i="2"/>
  <c r="R9" i="2"/>
  <c r="Q9" i="2"/>
  <c r="P9" i="2"/>
  <c r="O9" i="2"/>
  <c r="L9" i="2"/>
  <c r="C9" i="2"/>
  <c r="R8" i="2"/>
  <c r="Q8" i="2"/>
  <c r="P8" i="2"/>
  <c r="O8" i="2"/>
  <c r="L8" i="2"/>
  <c r="C8" i="2"/>
  <c r="R7" i="2"/>
  <c r="Q7" i="2"/>
  <c r="P7" i="2"/>
  <c r="O7" i="2"/>
  <c r="L7" i="2"/>
  <c r="C7" i="2"/>
  <c r="R6" i="2"/>
  <c r="Q6" i="2"/>
  <c r="P6" i="2"/>
  <c r="O6" i="2"/>
  <c r="L6" i="2"/>
  <c r="C6" i="2"/>
  <c r="R5" i="2"/>
  <c r="Q5" i="2"/>
  <c r="P5" i="2"/>
  <c r="O5" i="2"/>
  <c r="L5" i="2"/>
  <c r="C5" i="2"/>
  <c r="R4" i="2"/>
  <c r="Q4" i="2"/>
  <c r="P4" i="2"/>
  <c r="O4" i="2"/>
  <c r="L4" i="2"/>
  <c r="C4" i="2"/>
  <c r="R3" i="2"/>
  <c r="Q3" i="2"/>
  <c r="P3" i="2"/>
  <c r="O3" i="2"/>
  <c r="L3" i="2"/>
  <c r="C3" i="2"/>
  <c r="R2" i="2"/>
  <c r="Q2" i="2"/>
  <c r="P2" i="2"/>
  <c r="O2" i="2"/>
  <c r="L2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tc={20AF0441-D00D-4828-8248-E29B74B8E48C}</author>
    <author>tc={7E5E1C6F-5FFF-4420-B742-059C77065855}</author>
    <author>tc={9C1476BA-E4D9-4DC1-93D7-106522F9DF23}</author>
  </authors>
  <commentList>
    <comment ref="B1" authorId="0" shapeId="0" xr:uid="{20AF0441-D00D-4828-8248-E29B74B8E4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Identificador proporcionado por el PM en la matriz por proyecto y Sitio</t>
      </text>
    </comment>
    <comment ref="L1" authorId="1" shapeId="0" xr:uid="{7E5E1C6F-5FFF-4420-B742-059C7706585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total a considerar para la generación de RQ
</t>
      </text>
    </comment>
    <comment ref="M1" authorId="2" shapeId="0" xr:uid="{9C1476BA-E4D9-4DC1-93D7-106522F9DF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la cual se solicita la generación RQ</t>
      </text>
    </comment>
  </commentList>
</comments>
</file>

<file path=xl/sharedStrings.xml><?xml version="1.0" encoding="utf-8"?>
<sst xmlns="http://schemas.openxmlformats.org/spreadsheetml/2006/main" count="100" uniqueCount="63">
  <si>
    <t>Identificador</t>
  </si>
  <si>
    <t>Sitio</t>
  </si>
  <si>
    <t>Actividad</t>
  </si>
  <si>
    <t>Proveedor</t>
  </si>
  <si>
    <t>Sustento</t>
  </si>
  <si>
    <t>Acuerdo de compras (PA)</t>
  </si>
  <si>
    <t>Cordinador</t>
  </si>
  <si>
    <t>Moneda</t>
  </si>
  <si>
    <t>Cantidad</t>
  </si>
  <si>
    <t>Precio Unitario</t>
  </si>
  <si>
    <t>Total Cotizacion</t>
  </si>
  <si>
    <t>Fecha Registro</t>
  </si>
  <si>
    <t>Fecha de inicio Servicio</t>
  </si>
  <si>
    <t>Fecha Fin de Servicio</t>
  </si>
  <si>
    <t>Descripcion Adicional</t>
  </si>
  <si>
    <t>ID proyecto</t>
  </si>
  <si>
    <t>Proyecto</t>
  </si>
  <si>
    <t>Linea de Inversion</t>
  </si>
  <si>
    <t>Articulo</t>
  </si>
  <si>
    <t>TDD_177</t>
  </si>
  <si>
    <t>Impl. RF</t>
  </si>
  <si>
    <t>BELTRAN CHORIZOLA Y BALAGUER S.A.C.</t>
  </si>
  <si>
    <t>TDD_177 Cod-191</t>
  </si>
  <si>
    <t xml:space="preserve">PA13183 </t>
  </si>
  <si>
    <t>RONALD.BUENDIA</t>
  </si>
  <si>
    <t>PEN</t>
  </si>
  <si>
    <t>2-1-SERVICIO DE IMPLEMENTACION, RND &amp; IT – CF 2026</t>
  </si>
  <si>
    <t>ENTA9100103</t>
  </si>
  <si>
    <t>TX_CRA2026_302</t>
  </si>
  <si>
    <t>Impl. FO</t>
  </si>
  <si>
    <t>GRUPO TRICONM S.A.C.</t>
  </si>
  <si>
    <t>LPU_0100821_IC_Ayabaca to 0100868_IC_Geronimo_Cabrera</t>
  </si>
  <si>
    <t>PA13145</t>
  </si>
  <si>
    <t>ILIANIS.GRATEROL</t>
  </si>
  <si>
    <t>2-2-SERVICIO IMPLEMENTACION FIBRA OPTICA</t>
  </si>
  <si>
    <t>ENT00000037</t>
  </si>
  <si>
    <t>TX_CRA2026_106</t>
  </si>
  <si>
    <t>F1 SERVICES &amp; SOLUTIONS S.A.C.</t>
  </si>
  <si>
    <t>LPU_0100136_LM_Bolivia to 0100240_LM_Tingo_Maria</t>
  </si>
  <si>
    <t>PA13136</t>
  </si>
  <si>
    <t>2-2-SERVICIO IMPLEMENTACION FIBRA OPTICA CF 2026</t>
  </si>
  <si>
    <t>TX_CRA2026_174</t>
  </si>
  <si>
    <t>FATCOM S.A.C.</t>
  </si>
  <si>
    <t>LPU_0100232_LM_Rivadavia to 0105642_LM_Civico_Vitarte</t>
  </si>
  <si>
    <t>PA13155</t>
  </si>
  <si>
    <t>TX_CRA2026_262</t>
  </si>
  <si>
    <t>LPU_010251392_LM_Amauta_R1 to 0105597_LM_Dinamarca</t>
  </si>
  <si>
    <t>TX_CRA2026_167</t>
  </si>
  <si>
    <t>TRANSMITEL S.A.C.</t>
  </si>
  <si>
    <t>LPU_0100889_IC_Viena_Madrid to 010210605_IC_Dijisa_Ica</t>
  </si>
  <si>
    <t>PA13147</t>
  </si>
  <si>
    <t>TX_CRA2026_335</t>
  </si>
  <si>
    <t>SEMI PERU MONTAJES INDUSTRIALES S.A.C.</t>
  </si>
  <si>
    <t>LPU SWAP + CABLEADOS</t>
  </si>
  <si>
    <t>PA13138</t>
  </si>
  <si>
    <t>JUAN.PEÑA</t>
  </si>
  <si>
    <t>TX_CRA2026_336</t>
  </si>
  <si>
    <t>Impl. MW</t>
  </si>
  <si>
    <t>TORRES AJ PERU S.A.C</t>
  </si>
  <si>
    <t xml:space="preserve">PA13194 </t>
  </si>
  <si>
    <t>2-5-SERVICIO IMPLEMENTACION MMOO</t>
  </si>
  <si>
    <t>ENT911220002</t>
  </si>
  <si>
    <t>TX_CRA2026_337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</si>
</sst>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7"/>
      <color rgb="FF000000"/>
      <name val="Barlow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right"/>
    </xf>
    <xf numFmtId="4" fontId="0" fillId="0" borderId="0" xfId="0" applyNumberForma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2" xfId="1" applyNumberFormat="1" applyFont="1" applyBorder="1" applyAlignment="1">
      <alignment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4" fillId="0" borderId="4" xfId="1" applyNumberFormat="1" applyFont="1" applyBorder="1" applyAlignment="1">
      <alignment vertical="center"/>
    </xf>
    <xf numFmtId="14" fontId="4" fillId="0" borderId="4" xfId="0" applyNumberFormat="1" applyFont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Matriz%20de%20Requerimientos%20Capex%202026.xlsb" TargetMode="External"/><Relationship Id="rId1" Type="http://schemas.openxmlformats.org/officeDocument/2006/relationships/externalLinkPath" Target="Matriz%20de%20Requerimientos%20Capex%20202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RQ AYA (2)"/>
      <sheetName val="Seguimiento"/>
      <sheetName val="Matriz"/>
      <sheetName val="TD-Matriz"/>
      <sheetName val="Panel"/>
      <sheetName val="Presupuesto"/>
      <sheetName val="Formato RQ"/>
      <sheetName val="TD Presupuesto"/>
      <sheetName val="OPEX-RQ"/>
      <sheetName val="BD Pendiente"/>
      <sheetName val="Formato CR"/>
      <sheetName val="Formato-RQ"/>
      <sheetName val="Consolidado Sitios"/>
      <sheetName val="SITIOS"/>
      <sheetName val="Maestro Art. Oficial"/>
      <sheetName val="Maestro Art."/>
      <sheetName val="Listas"/>
      <sheetName val="AYA"/>
      <sheetName val="OOCCOOEE"/>
      <sheetName val="IMP"/>
      <sheetName val="Maestro PY"/>
    </sheetNames>
    <sheetDataSet>
      <sheetData sheetId="0"/>
      <sheetData sheetId="1"/>
      <sheetData sheetId="2"/>
      <sheetData sheetId="3"/>
      <sheetData sheetId="4"/>
      <sheetData sheetId="5">
        <row r="3">
          <cell r="E3" t="str">
            <v>Inversión/SubRubro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B2" t="str">
            <v>Identificador</v>
          </cell>
          <cell r="C2" t="str">
            <v>Nombre de Sitios</v>
          </cell>
          <cell r="D2" t="str">
            <v>ID Proyecto</v>
          </cell>
          <cell r="E2" t="str">
            <v>Proyecto</v>
          </cell>
          <cell r="F2" t="str">
            <v>Tipo de Proyecto</v>
          </cell>
          <cell r="G2" t="str">
            <v>AÑO</v>
          </cell>
          <cell r="H2" t="str">
            <v>Trimestre</v>
          </cell>
          <cell r="I2" t="str">
            <v>PM</v>
          </cell>
          <cell r="J2" t="str">
            <v>ESTADO</v>
          </cell>
          <cell r="K2" t="str">
            <v>Fecha Registro</v>
          </cell>
        </row>
        <row r="3">
          <cell r="B3" t="str">
            <v>EXP_RancoTDDQ12026_1</v>
          </cell>
          <cell r="C3" t="str">
            <v>0130010_LM_Dansey</v>
          </cell>
          <cell r="D3" t="str">
            <v>M0821</v>
          </cell>
          <cell r="E3" t="str">
            <v>RANCO TDD ADELANTO Q1 2026</v>
          </cell>
          <cell r="F3" t="str">
            <v>Expansiones</v>
          </cell>
          <cell r="G3">
            <v>2026</v>
          </cell>
          <cell r="H3" t="str">
            <v>Q1</v>
          </cell>
          <cell r="I3" t="str">
            <v>Jason olivos</v>
          </cell>
          <cell r="J3" t="str">
            <v>Por Actualizar</v>
          </cell>
          <cell r="K3">
            <v>46035</v>
          </cell>
        </row>
        <row r="4">
          <cell r="B4" t="str">
            <v>EXP_RancoTDDQ12026_2</v>
          </cell>
          <cell r="C4" t="str">
            <v>0130046_LM_Principal</v>
          </cell>
          <cell r="D4" t="str">
            <v>M0821</v>
          </cell>
          <cell r="E4" t="str">
            <v>RANCO TDD ADELANTO Q1 2026</v>
          </cell>
          <cell r="F4" t="str">
            <v>Expansiones</v>
          </cell>
          <cell r="G4">
            <v>2026</v>
          </cell>
          <cell r="H4" t="str">
            <v>Q1</v>
          </cell>
          <cell r="I4" t="str">
            <v>Jason olivos</v>
          </cell>
          <cell r="J4" t="str">
            <v>Por Actualizar</v>
          </cell>
          <cell r="K4">
            <v>46035</v>
          </cell>
        </row>
        <row r="5">
          <cell r="B5" t="str">
            <v>EXP_RancoTDDQ12026_3</v>
          </cell>
          <cell r="C5" t="str">
            <v>0130114_LM_Sucre</v>
          </cell>
          <cell r="D5" t="str">
            <v>M0821</v>
          </cell>
          <cell r="E5" t="str">
            <v>RANCO TDD ADELANTO Q1 2026</v>
          </cell>
          <cell r="F5" t="str">
            <v>Expansiones</v>
          </cell>
          <cell r="G5">
            <v>2026</v>
          </cell>
          <cell r="H5" t="str">
            <v>Q1</v>
          </cell>
          <cell r="I5" t="str">
            <v>Jason olivos</v>
          </cell>
          <cell r="J5" t="str">
            <v>Por Actualizar</v>
          </cell>
          <cell r="K5">
            <v>46035</v>
          </cell>
        </row>
        <row r="6">
          <cell r="B6" t="str">
            <v>EXP_RancoTDDQ12026_4</v>
          </cell>
          <cell r="C6" t="str">
            <v>0130149_LM_Trapiche</v>
          </cell>
          <cell r="D6" t="str">
            <v>M0821</v>
          </cell>
          <cell r="E6" t="str">
            <v>RANCO TDD ADELANTO Q1 2026</v>
          </cell>
          <cell r="F6" t="str">
            <v>Expansiones</v>
          </cell>
          <cell r="G6">
            <v>2026</v>
          </cell>
          <cell r="H6" t="str">
            <v>Q1</v>
          </cell>
          <cell r="I6" t="str">
            <v>Jason olivos</v>
          </cell>
          <cell r="J6" t="str">
            <v>Por Actualizar</v>
          </cell>
          <cell r="K6">
            <v>46035</v>
          </cell>
        </row>
        <row r="7">
          <cell r="B7" t="str">
            <v>EXP_RancoTDDQ12026_5</v>
          </cell>
          <cell r="C7" t="str">
            <v>0130173_LM_Zavala</v>
          </cell>
          <cell r="D7" t="str">
            <v>M0821</v>
          </cell>
          <cell r="E7" t="str">
            <v>RANCO TDD ADELANTO Q1 2026</v>
          </cell>
          <cell r="F7" t="str">
            <v>Expansiones</v>
          </cell>
          <cell r="G7">
            <v>2026</v>
          </cell>
          <cell r="H7" t="str">
            <v>Q1</v>
          </cell>
          <cell r="I7" t="str">
            <v>Jason olivos</v>
          </cell>
          <cell r="J7" t="str">
            <v>Por Actualizar</v>
          </cell>
          <cell r="K7">
            <v>46035</v>
          </cell>
        </row>
        <row r="8">
          <cell r="B8" t="str">
            <v>EXP_RancoTDDQ12026_6</v>
          </cell>
          <cell r="C8" t="str">
            <v>0130194_LM_Ascope</v>
          </cell>
          <cell r="D8" t="str">
            <v>M0821</v>
          </cell>
          <cell r="E8" t="str">
            <v>RANCO TDD ADELANTO Q1 2026</v>
          </cell>
          <cell r="F8" t="str">
            <v>Expansiones</v>
          </cell>
          <cell r="G8">
            <v>2026</v>
          </cell>
          <cell r="H8" t="str">
            <v>Q1</v>
          </cell>
          <cell r="I8" t="str">
            <v>Jason olivos</v>
          </cell>
          <cell r="J8" t="str">
            <v>Por Actualizar</v>
          </cell>
          <cell r="K8">
            <v>46035</v>
          </cell>
        </row>
        <row r="9">
          <cell r="B9" t="str">
            <v>EXP_RancoTDDQ12026_7</v>
          </cell>
          <cell r="C9" t="str">
            <v>0130198_LM_Ferrocarril</v>
          </cell>
          <cell r="D9" t="str">
            <v>M0821</v>
          </cell>
          <cell r="E9" t="str">
            <v>RANCO TDD ADELANTO Q1 2026</v>
          </cell>
          <cell r="F9" t="str">
            <v>Expansiones</v>
          </cell>
          <cell r="G9">
            <v>2026</v>
          </cell>
          <cell r="H9" t="str">
            <v>Q1</v>
          </cell>
          <cell r="I9" t="str">
            <v>Jason olivos</v>
          </cell>
          <cell r="J9" t="str">
            <v>Por Actualizar</v>
          </cell>
          <cell r="K9">
            <v>46035</v>
          </cell>
        </row>
        <row r="10">
          <cell r="B10" t="str">
            <v>EXP_RancoTDDQ12026_8</v>
          </cell>
          <cell r="C10" t="str">
            <v>0130227_LM_La_Concordia</v>
          </cell>
          <cell r="D10" t="str">
            <v>M0821</v>
          </cell>
          <cell r="E10" t="str">
            <v>RANCO TDD ADELANTO Q1 2026</v>
          </cell>
          <cell r="F10" t="str">
            <v>Expansiones</v>
          </cell>
          <cell r="G10">
            <v>2026</v>
          </cell>
          <cell r="H10" t="str">
            <v>Q1</v>
          </cell>
          <cell r="I10" t="str">
            <v>Jason olivos</v>
          </cell>
          <cell r="J10" t="str">
            <v>Por Actualizar</v>
          </cell>
          <cell r="K10">
            <v>46035</v>
          </cell>
        </row>
        <row r="11">
          <cell r="B11" t="str">
            <v>EXP_RancoTDDQ12026_9</v>
          </cell>
          <cell r="C11" t="str">
            <v>0130246_LM_Surco_Viejo</v>
          </cell>
          <cell r="D11" t="str">
            <v>M0821</v>
          </cell>
          <cell r="E11" t="str">
            <v>RANCO TDD ADELANTO Q1 2026</v>
          </cell>
          <cell r="F11" t="str">
            <v>Expansiones</v>
          </cell>
          <cell r="G11">
            <v>2026</v>
          </cell>
          <cell r="H11" t="str">
            <v>Q1</v>
          </cell>
          <cell r="I11" t="str">
            <v>Jason olivos</v>
          </cell>
          <cell r="J11" t="str">
            <v>Por Actualizar</v>
          </cell>
          <cell r="K11">
            <v>46035</v>
          </cell>
        </row>
        <row r="12">
          <cell r="B12" t="str">
            <v>EXP_RancoTDDQ12026_10</v>
          </cell>
          <cell r="C12" t="str">
            <v>0130308_LM_Marina_Park</v>
          </cell>
          <cell r="D12" t="str">
            <v>M0821</v>
          </cell>
          <cell r="E12" t="str">
            <v>RANCO TDD ADELANTO Q1 2026</v>
          </cell>
          <cell r="F12" t="str">
            <v>Expansiones</v>
          </cell>
          <cell r="G12">
            <v>2026</v>
          </cell>
          <cell r="H12" t="str">
            <v>Q1</v>
          </cell>
          <cell r="I12" t="str">
            <v>Jason olivos</v>
          </cell>
          <cell r="J12" t="str">
            <v>Por Actualizar</v>
          </cell>
          <cell r="K12">
            <v>46035</v>
          </cell>
        </row>
        <row r="13">
          <cell r="B13" t="str">
            <v>EXP_RancoTDDQ12026_11</v>
          </cell>
          <cell r="C13" t="str">
            <v>0130317_LM_Pamplona_Alta</v>
          </cell>
          <cell r="D13" t="str">
            <v>M0821</v>
          </cell>
          <cell r="E13" t="str">
            <v>RANCO TDD ADELANTO Q1 2026</v>
          </cell>
          <cell r="F13" t="str">
            <v>Expansiones</v>
          </cell>
          <cell r="G13">
            <v>2026</v>
          </cell>
          <cell r="H13" t="str">
            <v>Q1</v>
          </cell>
          <cell r="I13" t="str">
            <v>Jason olivos</v>
          </cell>
          <cell r="J13" t="str">
            <v>Por Actualizar</v>
          </cell>
          <cell r="K13">
            <v>46035</v>
          </cell>
        </row>
        <row r="14">
          <cell r="B14" t="str">
            <v>EXP_RancoTDDQ12026_12</v>
          </cell>
          <cell r="C14" t="str">
            <v>0130342_LM_Los_Proceres</v>
          </cell>
          <cell r="D14" t="str">
            <v>M0821</v>
          </cell>
          <cell r="E14" t="str">
            <v>RANCO TDD ADELANTO Q1 2026</v>
          </cell>
          <cell r="F14" t="str">
            <v>Expansiones</v>
          </cell>
          <cell r="G14">
            <v>2026</v>
          </cell>
          <cell r="H14" t="str">
            <v>Q1</v>
          </cell>
          <cell r="I14" t="str">
            <v>Jason olivos</v>
          </cell>
          <cell r="J14" t="str">
            <v>Por Actualizar</v>
          </cell>
          <cell r="K14">
            <v>46035</v>
          </cell>
        </row>
        <row r="15">
          <cell r="B15" t="str">
            <v>EXP_RancoTDDQ12026_13</v>
          </cell>
          <cell r="C15" t="str">
            <v>0130345_LM_Ventanilla_Alta</v>
          </cell>
          <cell r="D15" t="str">
            <v>M0821</v>
          </cell>
          <cell r="E15" t="str">
            <v>RANCO TDD ADELANTO Q1 2026</v>
          </cell>
          <cell r="F15" t="str">
            <v>Expansiones</v>
          </cell>
          <cell r="G15">
            <v>2026</v>
          </cell>
          <cell r="H15" t="str">
            <v>Q1</v>
          </cell>
          <cell r="I15" t="str">
            <v>Jason olivos</v>
          </cell>
          <cell r="J15" t="str">
            <v>Por Actualizar</v>
          </cell>
          <cell r="K15">
            <v>46035</v>
          </cell>
        </row>
        <row r="16">
          <cell r="B16" t="str">
            <v>EXP_RancoTDDQ12026_14</v>
          </cell>
          <cell r="C16" t="str">
            <v>0130377_LM_Huaral</v>
          </cell>
          <cell r="D16" t="str">
            <v>M0821</v>
          </cell>
          <cell r="E16" t="str">
            <v>RANCO TDD ADELANTO Q1 2026</v>
          </cell>
          <cell r="F16" t="str">
            <v>Expansiones</v>
          </cell>
          <cell r="G16">
            <v>2026</v>
          </cell>
          <cell r="H16" t="str">
            <v>Q1</v>
          </cell>
          <cell r="I16" t="str">
            <v>Jason olivos</v>
          </cell>
          <cell r="J16" t="str">
            <v>Por Actualizar</v>
          </cell>
          <cell r="K16">
            <v>46035</v>
          </cell>
        </row>
        <row r="17">
          <cell r="B17" t="str">
            <v>EXP_RancoTDDQ12026_15</v>
          </cell>
          <cell r="C17" t="str">
            <v>0130444_LM_Las_Violetas</v>
          </cell>
          <cell r="D17" t="str">
            <v>M0821</v>
          </cell>
          <cell r="E17" t="str">
            <v>RANCO TDD ADELANTO Q1 2026</v>
          </cell>
          <cell r="F17" t="str">
            <v>Expansiones</v>
          </cell>
          <cell r="G17">
            <v>2026</v>
          </cell>
          <cell r="H17" t="str">
            <v>Q1</v>
          </cell>
          <cell r="I17" t="str">
            <v>Jason olivos</v>
          </cell>
          <cell r="J17" t="str">
            <v>Por Actualizar</v>
          </cell>
          <cell r="K17">
            <v>46035</v>
          </cell>
        </row>
        <row r="18">
          <cell r="B18" t="str">
            <v>EXP_RancoTDDQ12026_16</v>
          </cell>
          <cell r="C18" t="str">
            <v>0130456_LM_26_Noviembre</v>
          </cell>
          <cell r="D18" t="str">
            <v>M0821</v>
          </cell>
          <cell r="E18" t="str">
            <v>RANCO TDD ADELANTO Q1 2026</v>
          </cell>
          <cell r="F18" t="str">
            <v>Expansiones</v>
          </cell>
          <cell r="G18">
            <v>2026</v>
          </cell>
          <cell r="H18" t="str">
            <v>Q1</v>
          </cell>
          <cell r="I18" t="str">
            <v>Jason olivos</v>
          </cell>
          <cell r="J18" t="str">
            <v>Por Actualizar</v>
          </cell>
          <cell r="K18">
            <v>46035</v>
          </cell>
        </row>
        <row r="19">
          <cell r="B19" t="str">
            <v>EXP_RancoTDDQ12026_17</v>
          </cell>
          <cell r="C19" t="str">
            <v>0130465_LM_San_Francisco_Cayran</v>
          </cell>
          <cell r="D19" t="str">
            <v>M0821</v>
          </cell>
          <cell r="E19" t="str">
            <v>RANCO TDD ADELANTO Q1 2026</v>
          </cell>
          <cell r="F19" t="str">
            <v>Expansiones</v>
          </cell>
          <cell r="G19">
            <v>2026</v>
          </cell>
          <cell r="H19" t="str">
            <v>Q1</v>
          </cell>
          <cell r="I19" t="str">
            <v>Jason olivos</v>
          </cell>
          <cell r="J19" t="str">
            <v>Por Actualizar</v>
          </cell>
          <cell r="K19">
            <v>46035</v>
          </cell>
        </row>
        <row r="20">
          <cell r="B20" t="str">
            <v>EXP_RancoTDDQ12026_18</v>
          </cell>
          <cell r="C20" t="str">
            <v>0130494_LM_Riva_Aguero</v>
          </cell>
          <cell r="D20" t="str">
            <v>M0821</v>
          </cell>
          <cell r="E20" t="str">
            <v>RANCO TDD ADELANTO Q1 2026</v>
          </cell>
          <cell r="F20" t="str">
            <v>Expansiones</v>
          </cell>
          <cell r="G20">
            <v>2026</v>
          </cell>
          <cell r="H20" t="str">
            <v>Q1</v>
          </cell>
          <cell r="I20" t="str">
            <v>Jason olivos</v>
          </cell>
          <cell r="J20" t="str">
            <v>Por Actualizar</v>
          </cell>
          <cell r="K20">
            <v>46035</v>
          </cell>
        </row>
        <row r="21">
          <cell r="B21" t="str">
            <v>EXP_RancoTDDQ12026_19</v>
          </cell>
          <cell r="C21" t="str">
            <v>0130525_LM_Universidad_de_Lima</v>
          </cell>
          <cell r="D21" t="str">
            <v>M0821</v>
          </cell>
          <cell r="E21" t="str">
            <v>RANCO TDD ADELANTO Q1 2026</v>
          </cell>
          <cell r="F21" t="str">
            <v>Expansiones</v>
          </cell>
          <cell r="G21">
            <v>2026</v>
          </cell>
          <cell r="H21" t="str">
            <v>Q1</v>
          </cell>
          <cell r="I21" t="str">
            <v>Jason olivos</v>
          </cell>
          <cell r="J21" t="str">
            <v>Por Actualizar</v>
          </cell>
          <cell r="K21">
            <v>46035</v>
          </cell>
        </row>
        <row r="22">
          <cell r="B22" t="str">
            <v>EXP_RancoTDDQ12026_20</v>
          </cell>
          <cell r="C22" t="str">
            <v>0130567_LM_Open_Atocongo</v>
          </cell>
          <cell r="D22" t="str">
            <v>M0821</v>
          </cell>
          <cell r="E22" t="str">
            <v>RANCO TDD ADELANTO Q1 2026</v>
          </cell>
          <cell r="F22" t="str">
            <v>Expansiones</v>
          </cell>
          <cell r="G22">
            <v>2026</v>
          </cell>
          <cell r="H22" t="str">
            <v>Q1</v>
          </cell>
          <cell r="I22" t="str">
            <v>Jason olivos</v>
          </cell>
          <cell r="J22" t="str">
            <v>Por Actualizar</v>
          </cell>
          <cell r="K22">
            <v>46035</v>
          </cell>
        </row>
        <row r="23">
          <cell r="B23" t="str">
            <v>EXP_RancoTDDQ12026_21</v>
          </cell>
          <cell r="C23" t="str">
            <v>0130603_LI_Viru</v>
          </cell>
          <cell r="D23" t="str">
            <v>M0821</v>
          </cell>
          <cell r="E23" t="str">
            <v>RANCO TDD ADELANTO Q1 2026</v>
          </cell>
          <cell r="F23" t="str">
            <v>Expansiones</v>
          </cell>
          <cell r="G23">
            <v>2026</v>
          </cell>
          <cell r="H23" t="str">
            <v>Q1</v>
          </cell>
          <cell r="I23" t="str">
            <v>Jason olivos</v>
          </cell>
          <cell r="J23" t="str">
            <v>Por Actualizar</v>
          </cell>
          <cell r="K23">
            <v>46035</v>
          </cell>
        </row>
        <row r="24">
          <cell r="B24" t="str">
            <v>EXP_RancoTDDQ12026_22</v>
          </cell>
          <cell r="C24" t="str">
            <v>0130631_LI_Nuevo_Ovalo_Grau</v>
          </cell>
          <cell r="D24" t="str">
            <v>M0821</v>
          </cell>
          <cell r="E24" t="str">
            <v>RANCO TDD ADELANTO Q1 2026</v>
          </cell>
          <cell r="F24" t="str">
            <v>Expansiones</v>
          </cell>
          <cell r="G24">
            <v>2026</v>
          </cell>
          <cell r="H24" t="str">
            <v>Q1</v>
          </cell>
          <cell r="I24" t="str">
            <v>Jason olivos</v>
          </cell>
          <cell r="J24" t="str">
            <v>Por Actualizar</v>
          </cell>
          <cell r="K24">
            <v>46035</v>
          </cell>
        </row>
        <row r="25">
          <cell r="B25" t="str">
            <v>EXP_RancoTDDQ12026_23</v>
          </cell>
          <cell r="C25" t="str">
            <v>0130637_LI_Camposol</v>
          </cell>
          <cell r="D25" t="str">
            <v>M0821</v>
          </cell>
          <cell r="E25" t="str">
            <v>RANCO TDD ADELANTO Q1 2026</v>
          </cell>
          <cell r="F25" t="str">
            <v>Expansiones</v>
          </cell>
          <cell r="G25">
            <v>2026</v>
          </cell>
          <cell r="H25" t="str">
            <v>Q1</v>
          </cell>
          <cell r="I25" t="str">
            <v>Jason olivos</v>
          </cell>
          <cell r="J25" t="str">
            <v>Por Actualizar</v>
          </cell>
          <cell r="K25">
            <v>46035</v>
          </cell>
        </row>
        <row r="26">
          <cell r="B26" t="str">
            <v>EXP_RancoTDDQ12026_24</v>
          </cell>
          <cell r="C26" t="str">
            <v>0130672_LI_Girasoles_San_Isidr</v>
          </cell>
          <cell r="D26" t="str">
            <v>M0821</v>
          </cell>
          <cell r="E26" t="str">
            <v>RANCO TDD ADELANTO Q1 2026</v>
          </cell>
          <cell r="F26" t="str">
            <v>Expansiones</v>
          </cell>
          <cell r="G26">
            <v>2026</v>
          </cell>
          <cell r="H26" t="str">
            <v>Q1</v>
          </cell>
          <cell r="I26" t="str">
            <v>Jason olivos</v>
          </cell>
          <cell r="J26" t="str">
            <v>Por Actualizar</v>
          </cell>
          <cell r="K26">
            <v>46035</v>
          </cell>
        </row>
        <row r="27">
          <cell r="B27" t="str">
            <v>EXP_RancoTDDQ12026_25</v>
          </cell>
          <cell r="C27" t="str">
            <v>0130713_AN_Chimbote_Centro</v>
          </cell>
          <cell r="D27" t="str">
            <v>M0821</v>
          </cell>
          <cell r="E27" t="str">
            <v>RANCO TDD ADELANTO Q1 2026</v>
          </cell>
          <cell r="F27" t="str">
            <v>Expansiones</v>
          </cell>
          <cell r="G27">
            <v>2026</v>
          </cell>
          <cell r="H27" t="str">
            <v>Q1</v>
          </cell>
          <cell r="I27" t="str">
            <v>Jason olivos</v>
          </cell>
          <cell r="J27" t="str">
            <v>Por Actualizar</v>
          </cell>
          <cell r="K27">
            <v>46035</v>
          </cell>
        </row>
        <row r="28">
          <cell r="B28" t="str">
            <v>EXP_RancoTDDQ12026_26</v>
          </cell>
          <cell r="C28" t="str">
            <v>0130727_AN_Miramar_Alto</v>
          </cell>
          <cell r="D28" t="str">
            <v>M0821</v>
          </cell>
          <cell r="E28" t="str">
            <v>RANCO TDD ADELANTO Q1 2026</v>
          </cell>
          <cell r="F28" t="str">
            <v>Expansiones</v>
          </cell>
          <cell r="G28">
            <v>2026</v>
          </cell>
          <cell r="H28" t="str">
            <v>Q1</v>
          </cell>
          <cell r="I28" t="str">
            <v>Jason olivos</v>
          </cell>
          <cell r="J28" t="str">
            <v>Por Actualizar</v>
          </cell>
          <cell r="K28">
            <v>46035</v>
          </cell>
        </row>
        <row r="29">
          <cell r="B29" t="str">
            <v>EXP_RancoTDDQ12026_27</v>
          </cell>
          <cell r="C29" t="str">
            <v>0130739_AN_Plaza_Huaraz</v>
          </cell>
          <cell r="D29" t="str">
            <v>M0821</v>
          </cell>
          <cell r="E29" t="str">
            <v>RANCO TDD ADELANTO Q1 2026</v>
          </cell>
          <cell r="F29" t="str">
            <v>Expansiones</v>
          </cell>
          <cell r="G29">
            <v>2026</v>
          </cell>
          <cell r="H29" t="str">
            <v>Q1</v>
          </cell>
          <cell r="I29" t="str">
            <v>Jason olivos</v>
          </cell>
          <cell r="J29" t="str">
            <v>Por Actualizar</v>
          </cell>
          <cell r="K29">
            <v>46035</v>
          </cell>
        </row>
        <row r="30">
          <cell r="B30" t="str">
            <v>EXP_RancoTDDQ12026_28</v>
          </cell>
          <cell r="C30" t="str">
            <v>0130751_AN_Santa_Chimbote</v>
          </cell>
          <cell r="D30" t="str">
            <v>M0821</v>
          </cell>
          <cell r="E30" t="str">
            <v>RANCO TDD ADELANTO Q1 2026</v>
          </cell>
          <cell r="F30" t="str">
            <v>Expansiones</v>
          </cell>
          <cell r="G30">
            <v>2026</v>
          </cell>
          <cell r="H30" t="str">
            <v>Q1</v>
          </cell>
          <cell r="I30" t="str">
            <v>Jason olivos</v>
          </cell>
          <cell r="J30" t="str">
            <v>Por Actualizar</v>
          </cell>
          <cell r="K30">
            <v>46035</v>
          </cell>
        </row>
        <row r="31">
          <cell r="B31" t="str">
            <v>EXP_RancoTDDQ12026_29</v>
          </cell>
          <cell r="C31" t="str">
            <v>0130765_AN_Instituto_Carlos</v>
          </cell>
          <cell r="D31" t="str">
            <v>M0821</v>
          </cell>
          <cell r="E31" t="str">
            <v>RANCO TDD ADELANTO Q1 2026</v>
          </cell>
          <cell r="F31" t="str">
            <v>Expansiones</v>
          </cell>
          <cell r="G31">
            <v>2026</v>
          </cell>
          <cell r="H31" t="str">
            <v>Q1</v>
          </cell>
          <cell r="I31" t="str">
            <v>Jason olivos</v>
          </cell>
          <cell r="J31" t="str">
            <v>Por Actualizar</v>
          </cell>
          <cell r="K31">
            <v>46035</v>
          </cell>
        </row>
        <row r="32">
          <cell r="B32" t="str">
            <v>EXP_RancoTDDQ12026_30</v>
          </cell>
          <cell r="C32" t="str">
            <v>0130791_AN_Manuel_Ruiz_Y_Ugart</v>
          </cell>
          <cell r="D32" t="str">
            <v>M0821</v>
          </cell>
          <cell r="E32" t="str">
            <v>RANCO TDD ADELANTO Q1 2026</v>
          </cell>
          <cell r="F32" t="str">
            <v>Expansiones</v>
          </cell>
          <cell r="G32">
            <v>2026</v>
          </cell>
          <cell r="H32" t="str">
            <v>Q1</v>
          </cell>
          <cell r="I32" t="str">
            <v>Jason olivos</v>
          </cell>
          <cell r="J32" t="str">
            <v>Por Actualizar</v>
          </cell>
          <cell r="K32">
            <v>46035</v>
          </cell>
        </row>
        <row r="33">
          <cell r="B33" t="str">
            <v>EXP_RancoTDDQ12026_31</v>
          </cell>
          <cell r="C33" t="str">
            <v>0130793_AN_Huaraz_Plaza</v>
          </cell>
          <cell r="D33" t="str">
            <v>M0821</v>
          </cell>
          <cell r="E33" t="str">
            <v>RANCO TDD ADELANTO Q1 2026</v>
          </cell>
          <cell r="F33" t="str">
            <v>Expansiones</v>
          </cell>
          <cell r="G33">
            <v>2026</v>
          </cell>
          <cell r="H33" t="str">
            <v>Q1</v>
          </cell>
          <cell r="I33" t="str">
            <v>Jason olivos</v>
          </cell>
          <cell r="J33" t="str">
            <v>Por Actualizar</v>
          </cell>
          <cell r="K33">
            <v>46035</v>
          </cell>
        </row>
        <row r="34">
          <cell r="B34" t="str">
            <v>EXP_RancoTDDQ12026_32</v>
          </cell>
          <cell r="C34" t="str">
            <v>0130807_IC_Loberias</v>
          </cell>
          <cell r="D34" t="str">
            <v>M0821</v>
          </cell>
          <cell r="E34" t="str">
            <v>RANCO TDD ADELANTO Q1 2026</v>
          </cell>
          <cell r="F34" t="str">
            <v>Expansiones</v>
          </cell>
          <cell r="G34">
            <v>2026</v>
          </cell>
          <cell r="H34" t="str">
            <v>Q1</v>
          </cell>
          <cell r="I34" t="str">
            <v>Jason olivos</v>
          </cell>
          <cell r="J34" t="str">
            <v>Por Actualizar</v>
          </cell>
          <cell r="K34">
            <v>46035</v>
          </cell>
        </row>
        <row r="35">
          <cell r="B35" t="str">
            <v>EXP_RancoTDDQ12026_33</v>
          </cell>
          <cell r="C35" t="str">
            <v>0130813_IC_La_Calera_Chincha</v>
          </cell>
          <cell r="D35" t="str">
            <v>M0821</v>
          </cell>
          <cell r="E35" t="str">
            <v>RANCO TDD ADELANTO Q1 2026</v>
          </cell>
          <cell r="F35" t="str">
            <v>Expansiones</v>
          </cell>
          <cell r="G35">
            <v>2026</v>
          </cell>
          <cell r="H35" t="str">
            <v>Q1</v>
          </cell>
          <cell r="I35" t="str">
            <v>Jason olivos</v>
          </cell>
          <cell r="J35" t="str">
            <v>Por Actualizar</v>
          </cell>
          <cell r="K35">
            <v>46035</v>
          </cell>
        </row>
        <row r="36">
          <cell r="B36" t="str">
            <v>EXP_RancoTDDQ12026_34</v>
          </cell>
          <cell r="C36" t="str">
            <v>0130818_IC_Paracas</v>
          </cell>
          <cell r="D36" t="str">
            <v>M0821</v>
          </cell>
          <cell r="E36" t="str">
            <v>RANCO TDD ADELANTO Q1 2026</v>
          </cell>
          <cell r="F36" t="str">
            <v>Expansiones</v>
          </cell>
          <cell r="G36">
            <v>2026</v>
          </cell>
          <cell r="H36" t="str">
            <v>Q1</v>
          </cell>
          <cell r="I36" t="str">
            <v>Jason olivos</v>
          </cell>
          <cell r="J36" t="str">
            <v>Por Actualizar</v>
          </cell>
          <cell r="K36">
            <v>46035</v>
          </cell>
        </row>
        <row r="37">
          <cell r="B37" t="str">
            <v>EXP_RancoTDDQ12026_35</v>
          </cell>
          <cell r="C37" t="str">
            <v>0130820_IC_Cerro_Prieto</v>
          </cell>
          <cell r="D37" t="str">
            <v>M0821</v>
          </cell>
          <cell r="E37" t="str">
            <v>RANCO TDD ADELANTO Q1 2026</v>
          </cell>
          <cell r="F37" t="str">
            <v>Expansiones</v>
          </cell>
          <cell r="G37">
            <v>2026</v>
          </cell>
          <cell r="H37" t="str">
            <v>Q1</v>
          </cell>
          <cell r="I37" t="str">
            <v>Jason olivos</v>
          </cell>
          <cell r="J37" t="str">
            <v>Por Actualizar</v>
          </cell>
          <cell r="K37">
            <v>46035</v>
          </cell>
        </row>
        <row r="38">
          <cell r="B38" t="str">
            <v>EXP_RancoTDDQ12026_36</v>
          </cell>
          <cell r="C38" t="str">
            <v>0130908_AQ_Yanahuara</v>
          </cell>
          <cell r="D38" t="str">
            <v>M0821</v>
          </cell>
          <cell r="E38" t="str">
            <v>RANCO TDD ADELANTO Q1 2026</v>
          </cell>
          <cell r="F38" t="str">
            <v>Expansiones</v>
          </cell>
          <cell r="G38">
            <v>2026</v>
          </cell>
          <cell r="H38" t="str">
            <v>Q1</v>
          </cell>
          <cell r="I38" t="str">
            <v>Jason olivos</v>
          </cell>
          <cell r="J38" t="str">
            <v>Por Actualizar</v>
          </cell>
          <cell r="K38">
            <v>46035</v>
          </cell>
        </row>
        <row r="39">
          <cell r="B39" t="str">
            <v>EXP_RancoTDDQ12026_37</v>
          </cell>
          <cell r="C39" t="str">
            <v>0130915_AQ_Matarani</v>
          </cell>
          <cell r="D39" t="str">
            <v>M0821</v>
          </cell>
          <cell r="E39" t="str">
            <v>RANCO TDD ADELANTO Q1 2026</v>
          </cell>
          <cell r="F39" t="str">
            <v>Expansiones</v>
          </cell>
          <cell r="G39">
            <v>2026</v>
          </cell>
          <cell r="H39" t="str">
            <v>Q1</v>
          </cell>
          <cell r="I39" t="str">
            <v>Jason olivos</v>
          </cell>
          <cell r="J39" t="str">
            <v>Por Actualizar</v>
          </cell>
          <cell r="K39">
            <v>46035</v>
          </cell>
        </row>
        <row r="40">
          <cell r="B40" t="str">
            <v>EXP_RancoTDDQ12026_38</v>
          </cell>
          <cell r="C40" t="str">
            <v>0130941_AQ_Parra</v>
          </cell>
          <cell r="D40" t="str">
            <v>M0821</v>
          </cell>
          <cell r="E40" t="str">
            <v>RANCO TDD ADELANTO Q1 2026</v>
          </cell>
          <cell r="F40" t="str">
            <v>Expansiones</v>
          </cell>
          <cell r="G40">
            <v>2026</v>
          </cell>
          <cell r="H40" t="str">
            <v>Q1</v>
          </cell>
          <cell r="I40" t="str">
            <v>Jason olivos</v>
          </cell>
          <cell r="J40" t="str">
            <v>Por Actualizar</v>
          </cell>
          <cell r="K40">
            <v>46035</v>
          </cell>
        </row>
        <row r="41">
          <cell r="B41" t="str">
            <v>EXP_RancoTDDQ12026_39</v>
          </cell>
          <cell r="C41" t="str">
            <v>0131001_LA_Mocupe</v>
          </cell>
          <cell r="D41" t="str">
            <v>M0821</v>
          </cell>
          <cell r="E41" t="str">
            <v>RANCO TDD ADELANTO Q1 2026</v>
          </cell>
          <cell r="F41" t="str">
            <v>Expansiones</v>
          </cell>
          <cell r="G41">
            <v>2026</v>
          </cell>
          <cell r="H41" t="str">
            <v>Q1</v>
          </cell>
          <cell r="I41" t="str">
            <v>Jason olivos</v>
          </cell>
          <cell r="J41" t="str">
            <v>Por Actualizar</v>
          </cell>
          <cell r="K41">
            <v>46035</v>
          </cell>
        </row>
        <row r="42">
          <cell r="B42" t="str">
            <v>EXP_RancoTDDQ12026_40</v>
          </cell>
          <cell r="C42" t="str">
            <v>0131162_LM_Mega_Pacifico</v>
          </cell>
          <cell r="D42" t="str">
            <v>M0821</v>
          </cell>
          <cell r="E42" t="str">
            <v>RANCO TDD ADELANTO Q1 2026</v>
          </cell>
          <cell r="F42" t="str">
            <v>Expansiones</v>
          </cell>
          <cell r="G42">
            <v>2026</v>
          </cell>
          <cell r="H42" t="str">
            <v>Q1</v>
          </cell>
          <cell r="I42" t="str">
            <v>Jason olivos</v>
          </cell>
          <cell r="J42" t="str">
            <v>Por Actualizar</v>
          </cell>
          <cell r="K42">
            <v>46035</v>
          </cell>
        </row>
        <row r="43">
          <cell r="B43" t="str">
            <v>EXP_RancoTDDQ12026_41</v>
          </cell>
          <cell r="C43" t="str">
            <v>0131168_LM_Naranjal_R1</v>
          </cell>
          <cell r="D43" t="str">
            <v>M0821</v>
          </cell>
          <cell r="E43" t="str">
            <v>RANCO TDD ADELANTO Q1 2026</v>
          </cell>
          <cell r="F43" t="str">
            <v>Expansiones</v>
          </cell>
          <cell r="G43">
            <v>2026</v>
          </cell>
          <cell r="H43" t="str">
            <v>Q1</v>
          </cell>
          <cell r="I43" t="str">
            <v>Jason olivos</v>
          </cell>
          <cell r="J43" t="str">
            <v>Por Actualizar</v>
          </cell>
          <cell r="K43">
            <v>46035</v>
          </cell>
        </row>
        <row r="44">
          <cell r="B44" t="str">
            <v>EXP_RancoTDDQ12026_42</v>
          </cell>
          <cell r="C44" t="str">
            <v>013120026_AN_Delicias_Sur</v>
          </cell>
          <cell r="D44" t="str">
            <v>M0821</v>
          </cell>
          <cell r="E44" t="str">
            <v>RANCO TDD ADELANTO Q1 2026</v>
          </cell>
          <cell r="F44" t="str">
            <v>Expansiones</v>
          </cell>
          <cell r="G44">
            <v>2026</v>
          </cell>
          <cell r="H44" t="str">
            <v>Q1</v>
          </cell>
          <cell r="I44" t="str">
            <v>Jason olivos</v>
          </cell>
          <cell r="J44" t="str">
            <v>Por Actualizar</v>
          </cell>
          <cell r="K44">
            <v>46035</v>
          </cell>
        </row>
        <row r="45">
          <cell r="B45" t="str">
            <v>EXP_RancoTDDQ12026_43</v>
          </cell>
          <cell r="C45" t="str">
            <v>013121596_AN_Caracinita</v>
          </cell>
          <cell r="D45" t="str">
            <v>M0821</v>
          </cell>
          <cell r="E45" t="str">
            <v>RANCO TDD ADELANTO Q1 2026</v>
          </cell>
          <cell r="F45" t="str">
            <v>Expansiones</v>
          </cell>
          <cell r="G45">
            <v>2026</v>
          </cell>
          <cell r="H45" t="str">
            <v>Q1</v>
          </cell>
          <cell r="I45" t="str">
            <v>Jason olivos</v>
          </cell>
          <cell r="J45" t="str">
            <v>Por Actualizar</v>
          </cell>
          <cell r="K45">
            <v>46035</v>
          </cell>
        </row>
        <row r="46">
          <cell r="B46" t="str">
            <v>EXP_RancoTDDQ12026_44</v>
          </cell>
          <cell r="C46" t="str">
            <v>0131295_LM_Sucre_Llosa</v>
          </cell>
          <cell r="D46" t="str">
            <v>M0821</v>
          </cell>
          <cell r="E46" t="str">
            <v>RANCO TDD ADELANTO Q1 2026</v>
          </cell>
          <cell r="F46" t="str">
            <v>Expansiones</v>
          </cell>
          <cell r="G46">
            <v>2026</v>
          </cell>
          <cell r="H46" t="str">
            <v>Q1</v>
          </cell>
          <cell r="I46" t="str">
            <v>Jason olivos</v>
          </cell>
          <cell r="J46" t="str">
            <v>Por Actualizar</v>
          </cell>
          <cell r="K46">
            <v>46035</v>
          </cell>
        </row>
        <row r="47">
          <cell r="B47" t="str">
            <v>EXP_RancoTDDQ12026_45</v>
          </cell>
          <cell r="C47" t="str">
            <v>0131302_CS_Cusco_Centro</v>
          </cell>
          <cell r="D47" t="str">
            <v>M0821</v>
          </cell>
          <cell r="E47" t="str">
            <v>RANCO TDD ADELANTO Q1 2026</v>
          </cell>
          <cell r="F47" t="str">
            <v>Expansiones</v>
          </cell>
          <cell r="G47">
            <v>2026</v>
          </cell>
          <cell r="H47" t="str">
            <v>Q1</v>
          </cell>
          <cell r="I47" t="str">
            <v>Jason olivos</v>
          </cell>
          <cell r="J47" t="str">
            <v>Por Actualizar</v>
          </cell>
          <cell r="K47">
            <v>46035</v>
          </cell>
        </row>
        <row r="48">
          <cell r="B48" t="str">
            <v>EXP_RancoTDDQ12026_46</v>
          </cell>
          <cell r="C48" t="str">
            <v>0131392_CS_Tierra_Prometida</v>
          </cell>
          <cell r="D48" t="str">
            <v>M0821</v>
          </cell>
          <cell r="E48" t="str">
            <v>RANCO TDD ADELANTO Q1 2026</v>
          </cell>
          <cell r="F48" t="str">
            <v>Expansiones</v>
          </cell>
          <cell r="G48">
            <v>2026</v>
          </cell>
          <cell r="H48" t="str">
            <v>Q1</v>
          </cell>
          <cell r="I48" t="str">
            <v>Jason olivos</v>
          </cell>
          <cell r="J48" t="str">
            <v>Por Actualizar</v>
          </cell>
          <cell r="K48">
            <v>46035</v>
          </cell>
        </row>
        <row r="49">
          <cell r="B49" t="str">
            <v>EXP_RancoTDDQ12026_47</v>
          </cell>
          <cell r="C49" t="str">
            <v>0131404_PN_Puno_Centro</v>
          </cell>
          <cell r="D49" t="str">
            <v>M0821</v>
          </cell>
          <cell r="E49" t="str">
            <v>RANCO TDD ADELANTO Q1 2026</v>
          </cell>
          <cell r="F49" t="str">
            <v>Expansiones</v>
          </cell>
          <cell r="G49">
            <v>2026</v>
          </cell>
          <cell r="H49" t="str">
            <v>Q1</v>
          </cell>
          <cell r="I49" t="str">
            <v>Jason olivos</v>
          </cell>
          <cell r="J49" t="str">
            <v>Por Actualizar</v>
          </cell>
          <cell r="K49">
            <v>46035</v>
          </cell>
        </row>
        <row r="50">
          <cell r="B50" t="str">
            <v>EXP_RancoTDDQ12026_48</v>
          </cell>
          <cell r="C50" t="str">
            <v>0131489_PN_Triunfo_Juliaca</v>
          </cell>
          <cell r="D50" t="str">
            <v>M0821</v>
          </cell>
          <cell r="E50" t="str">
            <v>RANCO TDD ADELANTO Q1 2026</v>
          </cell>
          <cell r="F50" t="str">
            <v>Expansiones</v>
          </cell>
          <cell r="G50">
            <v>2026</v>
          </cell>
          <cell r="H50" t="str">
            <v>Q1</v>
          </cell>
          <cell r="I50" t="str">
            <v>Jason olivos</v>
          </cell>
          <cell r="J50" t="str">
            <v>Por Actualizar</v>
          </cell>
          <cell r="K50">
            <v>46035</v>
          </cell>
        </row>
        <row r="51">
          <cell r="B51" t="str">
            <v>EXP_RancoTDDQ12026_49</v>
          </cell>
          <cell r="C51" t="str">
            <v>0131601_JU_Huancayo_Centro</v>
          </cell>
          <cell r="D51" t="str">
            <v>M0821</v>
          </cell>
          <cell r="E51" t="str">
            <v>RANCO TDD ADELANTO Q1 2026</v>
          </cell>
          <cell r="F51" t="str">
            <v>Expansiones</v>
          </cell>
          <cell r="G51">
            <v>2026</v>
          </cell>
          <cell r="H51" t="str">
            <v>Q1</v>
          </cell>
          <cell r="I51" t="str">
            <v>Jason olivos</v>
          </cell>
          <cell r="J51" t="str">
            <v>Por Actualizar</v>
          </cell>
          <cell r="K51">
            <v>46035</v>
          </cell>
        </row>
        <row r="52">
          <cell r="B52" t="str">
            <v>EXP_RancoTDDQ12026_50</v>
          </cell>
          <cell r="C52" t="str">
            <v>0131603_JU_Huancas</v>
          </cell>
          <cell r="D52" t="str">
            <v>M0821</v>
          </cell>
          <cell r="E52" t="str">
            <v>RANCO TDD ADELANTO Q1 2026</v>
          </cell>
          <cell r="F52" t="str">
            <v>Expansiones</v>
          </cell>
          <cell r="G52">
            <v>2026</v>
          </cell>
          <cell r="H52" t="str">
            <v>Q1</v>
          </cell>
          <cell r="I52" t="str">
            <v>Jason olivos</v>
          </cell>
          <cell r="J52" t="str">
            <v>Por Actualizar</v>
          </cell>
          <cell r="K52">
            <v>46035</v>
          </cell>
        </row>
        <row r="53">
          <cell r="B53" t="str">
            <v>EXP_RancoTDDQ12026_51</v>
          </cell>
          <cell r="C53" t="str">
            <v>0131609_JU_SanJeronimo_Tunan</v>
          </cell>
          <cell r="D53" t="str">
            <v>M0821</v>
          </cell>
          <cell r="E53" t="str">
            <v>RANCO TDD ADELANTO Q1 2026</v>
          </cell>
          <cell r="F53" t="str">
            <v>Expansiones</v>
          </cell>
          <cell r="G53">
            <v>2026</v>
          </cell>
          <cell r="H53" t="str">
            <v>Q1</v>
          </cell>
          <cell r="I53" t="str">
            <v>Jason olivos</v>
          </cell>
          <cell r="J53" t="str">
            <v>Por Actualizar</v>
          </cell>
          <cell r="K53">
            <v>46035</v>
          </cell>
        </row>
        <row r="54">
          <cell r="B54" t="str">
            <v>EXP_RancoTDDQ12026_52</v>
          </cell>
          <cell r="C54" t="str">
            <v>0131612_JU_Concepcion</v>
          </cell>
          <cell r="D54" t="str">
            <v>M0821</v>
          </cell>
          <cell r="E54" t="str">
            <v>RANCO TDD ADELANTO Q1 2026</v>
          </cell>
          <cell r="F54" t="str">
            <v>Expansiones</v>
          </cell>
          <cell r="G54">
            <v>2026</v>
          </cell>
          <cell r="H54" t="str">
            <v>Q1</v>
          </cell>
          <cell r="I54" t="str">
            <v>Jason olivos</v>
          </cell>
          <cell r="J54" t="str">
            <v>Por Actualizar</v>
          </cell>
          <cell r="K54">
            <v>46035</v>
          </cell>
        </row>
        <row r="55">
          <cell r="B55" t="str">
            <v>EXP_RancoTDDQ12026_53</v>
          </cell>
          <cell r="C55" t="str">
            <v>0131619_JU_La_Merced</v>
          </cell>
          <cell r="D55" t="str">
            <v>M0821</v>
          </cell>
          <cell r="E55" t="str">
            <v>RANCO TDD ADELANTO Q1 2026</v>
          </cell>
          <cell r="F55" t="str">
            <v>Expansiones</v>
          </cell>
          <cell r="G55">
            <v>2026</v>
          </cell>
          <cell r="H55" t="str">
            <v>Q1</v>
          </cell>
          <cell r="I55" t="str">
            <v>Jason olivos</v>
          </cell>
          <cell r="J55" t="str">
            <v>Por Actualizar</v>
          </cell>
          <cell r="K55">
            <v>46035</v>
          </cell>
        </row>
        <row r="56">
          <cell r="B56" t="str">
            <v>EXP_RancoTDDQ12026_54</v>
          </cell>
          <cell r="C56" t="str">
            <v>0131622_JU_Huancayo_Proceres</v>
          </cell>
          <cell r="D56" t="str">
            <v>M0821</v>
          </cell>
          <cell r="E56" t="str">
            <v>RANCO TDD ADELANTO Q1 2026</v>
          </cell>
          <cell r="F56" t="str">
            <v>Expansiones</v>
          </cell>
          <cell r="G56">
            <v>2026</v>
          </cell>
          <cell r="H56" t="str">
            <v>Q1</v>
          </cell>
          <cell r="I56" t="str">
            <v>Jason olivos</v>
          </cell>
          <cell r="J56" t="str">
            <v>Por Actualizar</v>
          </cell>
          <cell r="K56">
            <v>46035</v>
          </cell>
        </row>
        <row r="57">
          <cell r="B57" t="str">
            <v>EXP_RancoTDDQ12026_55</v>
          </cell>
          <cell r="C57" t="str">
            <v>0131623_JU_Huancayo_Universidad_Andes</v>
          </cell>
          <cell r="D57" t="str">
            <v>M0821</v>
          </cell>
          <cell r="E57" t="str">
            <v>RANCO TDD ADELANTO Q1 2026</v>
          </cell>
          <cell r="F57" t="str">
            <v>Expansiones</v>
          </cell>
          <cell r="G57">
            <v>2026</v>
          </cell>
          <cell r="H57" t="str">
            <v>Q1</v>
          </cell>
          <cell r="I57" t="str">
            <v>Jason olivos</v>
          </cell>
          <cell r="J57" t="str">
            <v>Por Actualizar</v>
          </cell>
          <cell r="K57">
            <v>46035</v>
          </cell>
        </row>
        <row r="58">
          <cell r="B58" t="str">
            <v>EXP_RancoTDDQ12026_56</v>
          </cell>
          <cell r="C58" t="str">
            <v>0131635_JU_Undac</v>
          </cell>
          <cell r="D58" t="str">
            <v>M0821</v>
          </cell>
          <cell r="E58" t="str">
            <v>RANCO TDD ADELANTO Q1 2026</v>
          </cell>
          <cell r="F58" t="str">
            <v>Expansiones</v>
          </cell>
          <cell r="G58">
            <v>2026</v>
          </cell>
          <cell r="H58" t="str">
            <v>Q1</v>
          </cell>
          <cell r="I58" t="str">
            <v>Jason olivos</v>
          </cell>
          <cell r="J58" t="str">
            <v>Por Actualizar</v>
          </cell>
          <cell r="K58">
            <v>46035</v>
          </cell>
        </row>
        <row r="59">
          <cell r="B59" t="str">
            <v>EXP_RancoTDDQ12026_57</v>
          </cell>
          <cell r="C59" t="str">
            <v>0131644_JU_Husares</v>
          </cell>
          <cell r="D59" t="str">
            <v>M0821</v>
          </cell>
          <cell r="E59" t="str">
            <v>RANCO TDD ADELANTO Q1 2026</v>
          </cell>
          <cell r="F59" t="str">
            <v>Expansiones</v>
          </cell>
          <cell r="G59">
            <v>2026</v>
          </cell>
          <cell r="H59" t="str">
            <v>Q1</v>
          </cell>
          <cell r="I59" t="str">
            <v>Jason olivos</v>
          </cell>
          <cell r="J59" t="str">
            <v>Por Actualizar</v>
          </cell>
          <cell r="K59">
            <v>46035</v>
          </cell>
        </row>
        <row r="60">
          <cell r="B60" t="str">
            <v>EXP_RancoTDDQ12026_58</v>
          </cell>
          <cell r="C60" t="str">
            <v>0131665_JU_Antonio_De_Zela</v>
          </cell>
          <cell r="D60" t="str">
            <v>M0821</v>
          </cell>
          <cell r="E60" t="str">
            <v>RANCO TDD ADELANTO Q1 2026</v>
          </cell>
          <cell r="F60" t="str">
            <v>Expansiones</v>
          </cell>
          <cell r="G60">
            <v>2026</v>
          </cell>
          <cell r="H60" t="str">
            <v>Q1</v>
          </cell>
          <cell r="I60" t="str">
            <v>Jason olivos</v>
          </cell>
          <cell r="J60" t="str">
            <v>Por Actualizar</v>
          </cell>
          <cell r="K60">
            <v>46035</v>
          </cell>
        </row>
        <row r="61">
          <cell r="B61" t="str">
            <v>EXP_RancoTDDQ12026_59</v>
          </cell>
          <cell r="C61" t="str">
            <v>0131675_JU_Palian</v>
          </cell>
          <cell r="D61" t="str">
            <v>M0821</v>
          </cell>
          <cell r="E61" t="str">
            <v>RANCO TDD ADELANTO Q1 2026</v>
          </cell>
          <cell r="F61" t="str">
            <v>Expansiones</v>
          </cell>
          <cell r="G61">
            <v>2026</v>
          </cell>
          <cell r="H61" t="str">
            <v>Q1</v>
          </cell>
          <cell r="I61" t="str">
            <v>Jason olivos</v>
          </cell>
          <cell r="J61" t="str">
            <v>Por Actualizar</v>
          </cell>
          <cell r="K61">
            <v>46035</v>
          </cell>
        </row>
        <row r="62">
          <cell r="B62" t="str">
            <v>EXP_RancoTDDQ12026_60</v>
          </cell>
          <cell r="C62" t="str">
            <v>0131677_JU_Frutas_Y_Verduras</v>
          </cell>
          <cell r="D62" t="str">
            <v>M0821</v>
          </cell>
          <cell r="E62" t="str">
            <v>RANCO TDD ADELANTO Q1 2026</v>
          </cell>
          <cell r="F62" t="str">
            <v>Expansiones</v>
          </cell>
          <cell r="G62">
            <v>2026</v>
          </cell>
          <cell r="H62" t="str">
            <v>Q1</v>
          </cell>
          <cell r="I62" t="str">
            <v>Jason olivos</v>
          </cell>
          <cell r="J62" t="str">
            <v>Por Actualizar</v>
          </cell>
          <cell r="K62">
            <v>46035</v>
          </cell>
        </row>
        <row r="63">
          <cell r="B63" t="str">
            <v>EXP_RancoTDDQ12026_61</v>
          </cell>
          <cell r="C63" t="str">
            <v>0131681_JU_Estacion_Huancayo</v>
          </cell>
          <cell r="D63" t="str">
            <v>M0821</v>
          </cell>
          <cell r="E63" t="str">
            <v>RANCO TDD ADELANTO Q1 2026</v>
          </cell>
          <cell r="F63" t="str">
            <v>Expansiones</v>
          </cell>
          <cell r="G63">
            <v>2026</v>
          </cell>
          <cell r="H63" t="str">
            <v>Q1</v>
          </cell>
          <cell r="I63" t="str">
            <v>Jason olivos</v>
          </cell>
          <cell r="J63" t="str">
            <v>Por Actualizar</v>
          </cell>
          <cell r="K63">
            <v>46035</v>
          </cell>
        </row>
        <row r="64">
          <cell r="B64" t="str">
            <v>EXP_RancoTDDQ12026_62</v>
          </cell>
          <cell r="C64" t="str">
            <v>0131687_JU_Leoncio_Prado</v>
          </cell>
          <cell r="D64" t="str">
            <v>M0821</v>
          </cell>
          <cell r="E64" t="str">
            <v>RANCO TDD ADELANTO Q1 2026</v>
          </cell>
          <cell r="F64" t="str">
            <v>Expansiones</v>
          </cell>
          <cell r="G64">
            <v>2026</v>
          </cell>
          <cell r="H64" t="str">
            <v>Q1</v>
          </cell>
          <cell r="I64" t="str">
            <v>Jason olivos</v>
          </cell>
          <cell r="J64" t="str">
            <v>Por Actualizar</v>
          </cell>
          <cell r="K64">
            <v>46035</v>
          </cell>
        </row>
        <row r="65">
          <cell r="B65" t="str">
            <v>EXP_RancoTDDQ12026_63</v>
          </cell>
          <cell r="C65" t="str">
            <v>0131746_PI_Las_Mercedes</v>
          </cell>
          <cell r="D65" t="str">
            <v>M0821</v>
          </cell>
          <cell r="E65" t="str">
            <v>RANCO TDD ADELANTO Q1 2026</v>
          </cell>
          <cell r="F65" t="str">
            <v>Expansiones</v>
          </cell>
          <cell r="G65">
            <v>2026</v>
          </cell>
          <cell r="H65" t="str">
            <v>Q1</v>
          </cell>
          <cell r="I65" t="str">
            <v>Jason olivos</v>
          </cell>
          <cell r="J65" t="str">
            <v>Por Actualizar</v>
          </cell>
          <cell r="K65">
            <v>46035</v>
          </cell>
        </row>
        <row r="66">
          <cell r="B66" t="str">
            <v>EXP_RancoTDDQ12026_64</v>
          </cell>
          <cell r="C66" t="str">
            <v>0131792_PI_San_Teodoro</v>
          </cell>
          <cell r="D66" t="str">
            <v>M0821</v>
          </cell>
          <cell r="E66" t="str">
            <v>RANCO TDD ADELANTO Q1 2026</v>
          </cell>
          <cell r="F66" t="str">
            <v>Expansiones</v>
          </cell>
          <cell r="G66">
            <v>2026</v>
          </cell>
          <cell r="H66" t="str">
            <v>Q1</v>
          </cell>
          <cell r="I66" t="str">
            <v>Jason olivos</v>
          </cell>
          <cell r="J66" t="str">
            <v>Por Actualizar</v>
          </cell>
          <cell r="K66">
            <v>46035</v>
          </cell>
        </row>
        <row r="67">
          <cell r="B67" t="str">
            <v>EXP_RancoTDDQ12026_65</v>
          </cell>
          <cell r="C67" t="str">
            <v>013182339_CS_Alto_Incas</v>
          </cell>
          <cell r="D67" t="str">
            <v>M0821</v>
          </cell>
          <cell r="E67" t="str">
            <v>RANCO TDD ADELANTO Q1 2026</v>
          </cell>
          <cell r="F67" t="str">
            <v>Expansiones</v>
          </cell>
          <cell r="G67">
            <v>2026</v>
          </cell>
          <cell r="H67" t="str">
            <v>Q1</v>
          </cell>
          <cell r="I67" t="str">
            <v>Jason olivos</v>
          </cell>
          <cell r="J67" t="str">
            <v>Por Actualizar</v>
          </cell>
          <cell r="K67">
            <v>46035</v>
          </cell>
        </row>
        <row r="68">
          <cell r="B68" t="str">
            <v>EXP_RancoTDDQ12026_66</v>
          </cell>
          <cell r="C68" t="str">
            <v>0131870_PI_Ciudad_Pescador</v>
          </cell>
          <cell r="D68" t="str">
            <v>M0821</v>
          </cell>
          <cell r="E68" t="str">
            <v>RANCO TDD ADELANTO Q1 2026</v>
          </cell>
          <cell r="F68" t="str">
            <v>Expansiones</v>
          </cell>
          <cell r="G68">
            <v>2026</v>
          </cell>
          <cell r="H68" t="str">
            <v>Q1</v>
          </cell>
          <cell r="I68" t="str">
            <v>Jason olivos</v>
          </cell>
          <cell r="J68" t="str">
            <v>Por Actualizar</v>
          </cell>
          <cell r="K68">
            <v>46035</v>
          </cell>
        </row>
        <row r="69">
          <cell r="B69" t="str">
            <v>EXP_RancoTDDQ12026_67</v>
          </cell>
          <cell r="C69" t="str">
            <v>013210603_IC_Mercado_De_Abastos</v>
          </cell>
          <cell r="D69" t="str">
            <v>M0821</v>
          </cell>
          <cell r="E69" t="str">
            <v>RANCO TDD ADELANTO Q1 2026</v>
          </cell>
          <cell r="F69" t="str">
            <v>Expansiones</v>
          </cell>
          <cell r="G69">
            <v>2026</v>
          </cell>
          <cell r="H69" t="str">
            <v>Q1</v>
          </cell>
          <cell r="I69" t="str">
            <v>Jason olivos</v>
          </cell>
          <cell r="J69" t="str">
            <v>Por Actualizar</v>
          </cell>
          <cell r="K69">
            <v>46035</v>
          </cell>
        </row>
        <row r="70">
          <cell r="B70" t="str">
            <v>EXP_RancoTDDQ12026_68</v>
          </cell>
          <cell r="C70" t="str">
            <v>0132167_LM_Gambetta_Baja</v>
          </cell>
          <cell r="D70" t="str">
            <v>M0821</v>
          </cell>
          <cell r="E70" t="str">
            <v>RANCO TDD ADELANTO Q1 2026</v>
          </cell>
          <cell r="F70" t="str">
            <v>Expansiones</v>
          </cell>
          <cell r="G70">
            <v>2026</v>
          </cell>
          <cell r="H70" t="str">
            <v>Q1</v>
          </cell>
          <cell r="I70" t="str">
            <v>Jason olivos</v>
          </cell>
          <cell r="J70" t="str">
            <v>Por Actualizar</v>
          </cell>
          <cell r="K70">
            <v>46035</v>
          </cell>
        </row>
        <row r="71">
          <cell r="B71" t="str">
            <v>EXP_RancoTDDQ12026_69</v>
          </cell>
          <cell r="C71" t="str">
            <v>0132207_IC_Av_Artemio_Molina</v>
          </cell>
          <cell r="D71" t="str">
            <v>M0821</v>
          </cell>
          <cell r="E71" t="str">
            <v>RANCO TDD ADELANTO Q1 2026</v>
          </cell>
          <cell r="F71" t="str">
            <v>Expansiones</v>
          </cell>
          <cell r="G71">
            <v>2026</v>
          </cell>
          <cell r="H71" t="str">
            <v>Q1</v>
          </cell>
          <cell r="I71" t="str">
            <v>Jason olivos</v>
          </cell>
          <cell r="J71" t="str">
            <v>Por Actualizar</v>
          </cell>
          <cell r="K71">
            <v>46035</v>
          </cell>
        </row>
        <row r="72">
          <cell r="B72" t="str">
            <v>EXP_RancoTDDQ12026_70</v>
          </cell>
          <cell r="C72" t="str">
            <v>013221300_JU_Gudelia</v>
          </cell>
          <cell r="D72" t="str">
            <v>M0821</v>
          </cell>
          <cell r="E72" t="str">
            <v>RANCO TDD ADELANTO Q1 2026</v>
          </cell>
          <cell r="F72" t="str">
            <v>Expansiones</v>
          </cell>
          <cell r="G72">
            <v>2026</v>
          </cell>
          <cell r="H72" t="str">
            <v>Q1</v>
          </cell>
          <cell r="I72" t="str">
            <v>Jason olivos</v>
          </cell>
          <cell r="J72" t="str">
            <v>Por Actualizar</v>
          </cell>
          <cell r="K72">
            <v>46035</v>
          </cell>
        </row>
        <row r="73">
          <cell r="B73" t="str">
            <v>EXP_RancoTDDQ12026_71</v>
          </cell>
          <cell r="C73" t="str">
            <v>0132215_IC_Jiron_Pilpa</v>
          </cell>
          <cell r="D73" t="str">
            <v>M0821</v>
          </cell>
          <cell r="E73" t="str">
            <v>RANCO TDD ADELANTO Q1 2026</v>
          </cell>
          <cell r="F73" t="str">
            <v>Expansiones</v>
          </cell>
          <cell r="G73">
            <v>2026</v>
          </cell>
          <cell r="H73" t="str">
            <v>Q1</v>
          </cell>
          <cell r="I73" t="str">
            <v>Jason olivos</v>
          </cell>
          <cell r="J73" t="str">
            <v>Por Actualizar</v>
          </cell>
          <cell r="K73">
            <v>46035</v>
          </cell>
        </row>
        <row r="74">
          <cell r="B74" t="str">
            <v>EXP_RancoTDDQ12026_72</v>
          </cell>
          <cell r="C74" t="str">
            <v>013223148_JU_Sano</v>
          </cell>
          <cell r="D74" t="str">
            <v>M0821</v>
          </cell>
          <cell r="E74" t="str">
            <v>RANCO TDD ADELANTO Q1 2026</v>
          </cell>
          <cell r="F74" t="str">
            <v>Expansiones</v>
          </cell>
          <cell r="G74">
            <v>2026</v>
          </cell>
          <cell r="H74" t="str">
            <v>Q1</v>
          </cell>
          <cell r="I74" t="str">
            <v>Jason olivos</v>
          </cell>
          <cell r="J74" t="str">
            <v>Por Actualizar</v>
          </cell>
          <cell r="K74">
            <v>46035</v>
          </cell>
        </row>
        <row r="75">
          <cell r="B75" t="str">
            <v>EXP_RancoTDDQ12026_73</v>
          </cell>
          <cell r="C75" t="str">
            <v>013224024_JU_Chamiseria</v>
          </cell>
          <cell r="D75" t="str">
            <v>M0821</v>
          </cell>
          <cell r="E75" t="str">
            <v>RANCO TDD ADELANTO Q1 2026</v>
          </cell>
          <cell r="F75" t="str">
            <v>Expansiones</v>
          </cell>
          <cell r="G75">
            <v>2026</v>
          </cell>
          <cell r="H75" t="str">
            <v>Q1</v>
          </cell>
          <cell r="I75" t="str">
            <v>Jason olivos</v>
          </cell>
          <cell r="J75" t="str">
            <v>Por Actualizar</v>
          </cell>
          <cell r="K75">
            <v>46035</v>
          </cell>
        </row>
        <row r="76">
          <cell r="B76" t="str">
            <v>EXP_RancoTDDQ12026_74</v>
          </cell>
          <cell r="C76" t="str">
            <v>013224126_JU_Catedral_Inmaculada</v>
          </cell>
          <cell r="D76" t="str">
            <v>M0821</v>
          </cell>
          <cell r="E76" t="str">
            <v>RANCO TDD ADELANTO Q1 2026</v>
          </cell>
          <cell r="F76" t="str">
            <v>Expansiones</v>
          </cell>
          <cell r="G76">
            <v>2026</v>
          </cell>
          <cell r="H76" t="str">
            <v>Q1</v>
          </cell>
          <cell r="I76" t="str">
            <v>Jason olivos</v>
          </cell>
          <cell r="J76" t="str">
            <v>Por Actualizar</v>
          </cell>
          <cell r="K76">
            <v>46035</v>
          </cell>
        </row>
        <row r="77">
          <cell r="B77" t="str">
            <v>EXP_RancoTDDQ12026_75</v>
          </cell>
          <cell r="C77" t="str">
            <v>0132284_IC_Villa_Mangos_Ica</v>
          </cell>
          <cell r="D77" t="str">
            <v>M0821</v>
          </cell>
          <cell r="E77" t="str">
            <v>RANCO TDD ADELANTO Q1 2026</v>
          </cell>
          <cell r="F77" t="str">
            <v>Expansiones</v>
          </cell>
          <cell r="G77">
            <v>2026</v>
          </cell>
          <cell r="H77" t="str">
            <v>Q1</v>
          </cell>
          <cell r="I77" t="str">
            <v>Jason olivos</v>
          </cell>
          <cell r="J77" t="str">
            <v>Por Actualizar</v>
          </cell>
          <cell r="K77">
            <v>46035</v>
          </cell>
        </row>
        <row r="78">
          <cell r="B78" t="str">
            <v>EXP_RancoTDDQ12026_76</v>
          </cell>
          <cell r="C78" t="str">
            <v>013230138_LI_Jose_Huarpe</v>
          </cell>
          <cell r="D78" t="str">
            <v>M0821</v>
          </cell>
          <cell r="E78" t="str">
            <v>RANCO TDD ADELANTO Q1 2026</v>
          </cell>
          <cell r="F78" t="str">
            <v>Expansiones</v>
          </cell>
          <cell r="G78">
            <v>2026</v>
          </cell>
          <cell r="H78" t="str">
            <v>Q1</v>
          </cell>
          <cell r="I78" t="str">
            <v>Jason olivos</v>
          </cell>
          <cell r="J78" t="str">
            <v>Por Actualizar</v>
          </cell>
          <cell r="K78">
            <v>46035</v>
          </cell>
        </row>
        <row r="79">
          <cell r="B79" t="str">
            <v>EXP_RancoTDDQ12026_77</v>
          </cell>
          <cell r="C79" t="str">
            <v>013230269_LI_Quinta_Alta</v>
          </cell>
          <cell r="D79" t="str">
            <v>M0821</v>
          </cell>
          <cell r="E79" t="str">
            <v>RANCO TDD ADELANTO Q1 2026</v>
          </cell>
          <cell r="F79" t="str">
            <v>Expansiones</v>
          </cell>
          <cell r="G79">
            <v>2026</v>
          </cell>
          <cell r="H79" t="str">
            <v>Q1</v>
          </cell>
          <cell r="I79" t="str">
            <v>Jason olivos</v>
          </cell>
          <cell r="J79" t="str">
            <v>Por Actualizar</v>
          </cell>
          <cell r="K79">
            <v>46035</v>
          </cell>
        </row>
        <row r="80">
          <cell r="B80" t="str">
            <v>EXP_RancoTDDQ12026_78</v>
          </cell>
          <cell r="C80" t="str">
            <v>0132402_CA_Estadio_Jaen</v>
          </cell>
          <cell r="D80" t="str">
            <v>M0821</v>
          </cell>
          <cell r="E80" t="str">
            <v>RANCO TDD ADELANTO Q1 2026</v>
          </cell>
          <cell r="F80" t="str">
            <v>Expansiones</v>
          </cell>
          <cell r="G80">
            <v>2026</v>
          </cell>
          <cell r="H80" t="str">
            <v>Q1</v>
          </cell>
          <cell r="I80" t="str">
            <v>Jason olivos</v>
          </cell>
          <cell r="J80" t="str">
            <v>Por Actualizar</v>
          </cell>
          <cell r="K80">
            <v>46035</v>
          </cell>
        </row>
        <row r="81">
          <cell r="B81" t="str">
            <v>EXP_RancoTDDQ12026_79</v>
          </cell>
          <cell r="C81" t="str">
            <v>0132407_LA_Castaneda_Iparragui</v>
          </cell>
          <cell r="D81" t="str">
            <v>M0821</v>
          </cell>
          <cell r="E81" t="str">
            <v>RANCO TDD ADELANTO Q1 2026</v>
          </cell>
          <cell r="F81" t="str">
            <v>Expansiones</v>
          </cell>
          <cell r="G81">
            <v>2026</v>
          </cell>
          <cell r="H81" t="str">
            <v>Q1</v>
          </cell>
          <cell r="I81" t="str">
            <v>Jason olivos</v>
          </cell>
          <cell r="J81" t="str">
            <v>Por Actualizar</v>
          </cell>
          <cell r="K81">
            <v>46035</v>
          </cell>
        </row>
        <row r="82">
          <cell r="B82" t="str">
            <v>EXP_RancoTDDQ12026_80</v>
          </cell>
          <cell r="C82" t="str">
            <v>0132451_LA_Virrey_Toledo</v>
          </cell>
          <cell r="D82" t="str">
            <v>M0821</v>
          </cell>
          <cell r="E82" t="str">
            <v>RANCO TDD ADELANTO Q1 2026</v>
          </cell>
          <cell r="F82" t="str">
            <v>Expansiones</v>
          </cell>
          <cell r="G82">
            <v>2026</v>
          </cell>
          <cell r="H82" t="str">
            <v>Q1</v>
          </cell>
          <cell r="I82" t="str">
            <v>Jason olivos</v>
          </cell>
          <cell r="J82" t="str">
            <v>Por Actualizar</v>
          </cell>
          <cell r="K82">
            <v>46035</v>
          </cell>
        </row>
        <row r="83">
          <cell r="B83" t="str">
            <v>EXP_RancoTDDQ12026_81</v>
          </cell>
          <cell r="C83" t="str">
            <v>013250630_LM_Refugio_Silvestre</v>
          </cell>
          <cell r="D83" t="str">
            <v>M0821</v>
          </cell>
          <cell r="E83" t="str">
            <v>RANCO TDD ADELANTO Q1 2026</v>
          </cell>
          <cell r="F83" t="str">
            <v>Expansiones</v>
          </cell>
          <cell r="G83">
            <v>2026</v>
          </cell>
          <cell r="H83" t="str">
            <v>Q1</v>
          </cell>
          <cell r="I83" t="str">
            <v>Jason olivos</v>
          </cell>
          <cell r="J83" t="str">
            <v>Por Actualizar</v>
          </cell>
          <cell r="K83">
            <v>46035</v>
          </cell>
        </row>
        <row r="84">
          <cell r="B84" t="str">
            <v>EXP_RancoTDDQ12026_82</v>
          </cell>
          <cell r="C84" t="str">
            <v>013250707_LM_Praderas_Lurin</v>
          </cell>
          <cell r="D84" t="str">
            <v>M0821</v>
          </cell>
          <cell r="E84" t="str">
            <v>RANCO TDD ADELANTO Q1 2026</v>
          </cell>
          <cell r="F84" t="str">
            <v>Expansiones</v>
          </cell>
          <cell r="G84">
            <v>2026</v>
          </cell>
          <cell r="H84" t="str">
            <v>Q1</v>
          </cell>
          <cell r="I84" t="str">
            <v>Jason olivos</v>
          </cell>
          <cell r="J84" t="str">
            <v>Por Actualizar</v>
          </cell>
          <cell r="K84">
            <v>46035</v>
          </cell>
        </row>
        <row r="85">
          <cell r="B85" t="str">
            <v>EXP_RancoTDDQ12026_83</v>
          </cell>
          <cell r="C85" t="str">
            <v>013251707_LM_Monterrey_Ate_R1</v>
          </cell>
          <cell r="D85" t="str">
            <v>M0821</v>
          </cell>
          <cell r="E85" t="str">
            <v>RANCO TDD ADELANTO Q1 2026</v>
          </cell>
          <cell r="F85" t="str">
            <v>Expansiones</v>
          </cell>
          <cell r="G85">
            <v>2026</v>
          </cell>
          <cell r="H85" t="str">
            <v>Q1</v>
          </cell>
          <cell r="I85" t="str">
            <v>Jason olivos</v>
          </cell>
          <cell r="J85" t="str">
            <v>Por Actualizar</v>
          </cell>
          <cell r="K85">
            <v>46035</v>
          </cell>
        </row>
        <row r="86">
          <cell r="B86" t="str">
            <v>EXP_RancoTDDQ12026_84</v>
          </cell>
          <cell r="C86" t="str">
            <v>013252477_LM_PS_Morelli</v>
          </cell>
          <cell r="D86" t="str">
            <v>M0821</v>
          </cell>
          <cell r="E86" t="str">
            <v>RANCO TDD ADELANTO Q1 2026</v>
          </cell>
          <cell r="F86" t="str">
            <v>Expansiones</v>
          </cell>
          <cell r="G86">
            <v>2026</v>
          </cell>
          <cell r="H86" t="str">
            <v>Q1</v>
          </cell>
          <cell r="I86" t="str">
            <v>Jason olivos</v>
          </cell>
          <cell r="J86" t="str">
            <v>Por Actualizar</v>
          </cell>
          <cell r="K86">
            <v>46035</v>
          </cell>
        </row>
        <row r="87">
          <cell r="B87" t="str">
            <v>EXP_RancoTDDQ12026_85</v>
          </cell>
          <cell r="C87" t="str">
            <v>013253701_LM_Meliton_Carbajal_R1</v>
          </cell>
          <cell r="D87" t="str">
            <v>M0821</v>
          </cell>
          <cell r="E87" t="str">
            <v>RANCO TDD ADELANTO Q1 2026</v>
          </cell>
          <cell r="F87" t="str">
            <v>Expansiones</v>
          </cell>
          <cell r="G87">
            <v>2026</v>
          </cell>
          <cell r="H87" t="str">
            <v>Q1</v>
          </cell>
          <cell r="I87" t="str">
            <v>Jason olivos</v>
          </cell>
          <cell r="J87" t="str">
            <v>Por Actualizar</v>
          </cell>
          <cell r="K87">
            <v>46035</v>
          </cell>
        </row>
        <row r="88">
          <cell r="B88" t="str">
            <v>EXP_RancoTDDQ12026_86</v>
          </cell>
          <cell r="C88" t="str">
            <v>013254536_LM_PS_Metro_Atocongo</v>
          </cell>
          <cell r="D88" t="str">
            <v>M0821</v>
          </cell>
          <cell r="E88" t="str">
            <v>RANCO TDD ADELANTO Q1 2026</v>
          </cell>
          <cell r="F88" t="str">
            <v>Expansiones</v>
          </cell>
          <cell r="G88">
            <v>2026</v>
          </cell>
          <cell r="H88" t="str">
            <v>Q1</v>
          </cell>
          <cell r="I88" t="str">
            <v>Jason olivos</v>
          </cell>
          <cell r="J88" t="str">
            <v>Por Actualizar</v>
          </cell>
          <cell r="K88">
            <v>46035</v>
          </cell>
        </row>
        <row r="89">
          <cell r="B89" t="str">
            <v>EXP_RancoTDDQ12026_87</v>
          </cell>
          <cell r="C89" t="str">
            <v>013254575_LM_Padrino_Campestre</v>
          </cell>
          <cell r="D89" t="str">
            <v>M0821</v>
          </cell>
          <cell r="E89" t="str">
            <v>RANCO TDD ADELANTO Q1 2026</v>
          </cell>
          <cell r="F89" t="str">
            <v>Expansiones</v>
          </cell>
          <cell r="G89">
            <v>2026</v>
          </cell>
          <cell r="H89" t="str">
            <v>Q1</v>
          </cell>
          <cell r="I89" t="str">
            <v>Jason olivos</v>
          </cell>
          <cell r="J89" t="str">
            <v>Por Actualizar</v>
          </cell>
          <cell r="K89">
            <v>46035</v>
          </cell>
        </row>
        <row r="90">
          <cell r="B90" t="str">
            <v>EXP_RancoTDDQ12026_88</v>
          </cell>
          <cell r="C90" t="str">
            <v>013254724_LM_CC_Mina_De_Oro</v>
          </cell>
          <cell r="D90" t="str">
            <v>M0821</v>
          </cell>
          <cell r="E90" t="str">
            <v>RANCO TDD ADELANTO Q1 2026</v>
          </cell>
          <cell r="F90" t="str">
            <v>Expansiones</v>
          </cell>
          <cell r="G90">
            <v>2026</v>
          </cell>
          <cell r="H90" t="str">
            <v>Q1</v>
          </cell>
          <cell r="I90" t="str">
            <v>Jason olivos</v>
          </cell>
          <cell r="J90" t="str">
            <v>Por Actualizar</v>
          </cell>
          <cell r="K90">
            <v>46035</v>
          </cell>
        </row>
        <row r="91">
          <cell r="B91" t="str">
            <v>EXP_RancoTDDQ12026_89</v>
          </cell>
          <cell r="C91" t="str">
            <v>013255009_LM_Pq_Nan_Chang</v>
          </cell>
          <cell r="D91" t="str">
            <v>M0821</v>
          </cell>
          <cell r="E91" t="str">
            <v>RANCO TDD ADELANTO Q1 2026</v>
          </cell>
          <cell r="F91" t="str">
            <v>Expansiones</v>
          </cell>
          <cell r="G91">
            <v>2026</v>
          </cell>
          <cell r="H91" t="str">
            <v>Q1</v>
          </cell>
          <cell r="I91" t="str">
            <v>Jason olivos</v>
          </cell>
          <cell r="J91" t="str">
            <v>Por Actualizar</v>
          </cell>
          <cell r="K91">
            <v>46035</v>
          </cell>
        </row>
        <row r="92">
          <cell r="B92" t="str">
            <v>EXP_RancoTDDQ12026_90</v>
          </cell>
          <cell r="C92" t="str">
            <v>013255040_LM_Huachipa_AMT</v>
          </cell>
          <cell r="D92" t="str">
            <v>M0821</v>
          </cell>
          <cell r="E92" t="str">
            <v>RANCO TDD ADELANTO Q1 2026</v>
          </cell>
          <cell r="F92" t="str">
            <v>Expansiones</v>
          </cell>
          <cell r="G92">
            <v>2026</v>
          </cell>
          <cell r="H92" t="str">
            <v>Q1</v>
          </cell>
          <cell r="I92" t="str">
            <v>Jason olivos</v>
          </cell>
          <cell r="J92" t="str">
            <v>Por Actualizar</v>
          </cell>
          <cell r="K92">
            <v>46035</v>
          </cell>
        </row>
        <row r="93">
          <cell r="B93" t="str">
            <v>EXP_RancoTDDQ12026_91</v>
          </cell>
          <cell r="C93" t="str">
            <v>0132635_LM_Los_Biologos</v>
          </cell>
          <cell r="D93" t="str">
            <v>M0821</v>
          </cell>
          <cell r="E93" t="str">
            <v>RANCO TDD ADELANTO Q1 2026</v>
          </cell>
          <cell r="F93" t="str">
            <v>Expansiones</v>
          </cell>
          <cell r="G93">
            <v>2026</v>
          </cell>
          <cell r="H93" t="str">
            <v>Q1</v>
          </cell>
          <cell r="I93" t="str">
            <v>Jason olivos</v>
          </cell>
          <cell r="J93" t="str">
            <v>Por Actualizar</v>
          </cell>
          <cell r="K93">
            <v>46035</v>
          </cell>
        </row>
        <row r="94">
          <cell r="B94" t="str">
            <v>EXP_RancoTDDQ12026_92</v>
          </cell>
          <cell r="C94" t="str">
            <v>0132751_LM_Cerro_La_Regla_R1</v>
          </cell>
          <cell r="D94" t="str">
            <v>M0821</v>
          </cell>
          <cell r="E94" t="str">
            <v>RANCO TDD ADELANTO Q1 2026</v>
          </cell>
          <cell r="F94" t="str">
            <v>Expansiones</v>
          </cell>
          <cell r="G94">
            <v>2026</v>
          </cell>
          <cell r="H94" t="str">
            <v>Q1</v>
          </cell>
          <cell r="I94" t="str">
            <v>Jason olivos</v>
          </cell>
          <cell r="J94" t="str">
            <v>Por Actualizar</v>
          </cell>
          <cell r="K94">
            <v>46035</v>
          </cell>
        </row>
        <row r="95">
          <cell r="B95" t="str">
            <v>EXP_RancoTDDQ12026_93</v>
          </cell>
          <cell r="C95" t="str">
            <v>0133010_PI_Cuartel_Cortes</v>
          </cell>
          <cell r="D95" t="str">
            <v>M0821</v>
          </cell>
          <cell r="E95" t="str">
            <v>RANCO TDD ADELANTO Q1 2026</v>
          </cell>
          <cell r="F95" t="str">
            <v>Expansiones</v>
          </cell>
          <cell r="G95">
            <v>2026</v>
          </cell>
          <cell r="H95" t="str">
            <v>Q1</v>
          </cell>
          <cell r="I95" t="str">
            <v>Jason olivos</v>
          </cell>
          <cell r="J95" t="str">
            <v>Por Actualizar</v>
          </cell>
          <cell r="K95">
            <v>46035</v>
          </cell>
        </row>
        <row r="96">
          <cell r="B96" t="str">
            <v>EXP_RancoTDDQ12026_94</v>
          </cell>
          <cell r="C96" t="str">
            <v>013301683_PI_Fundo_San_Vicente</v>
          </cell>
          <cell r="D96" t="str">
            <v>M0821</v>
          </cell>
          <cell r="E96" t="str">
            <v>RANCO TDD ADELANTO Q1 2026</v>
          </cell>
          <cell r="F96" t="str">
            <v>Expansiones</v>
          </cell>
          <cell r="G96">
            <v>2026</v>
          </cell>
          <cell r="H96" t="str">
            <v>Q1</v>
          </cell>
          <cell r="I96" t="str">
            <v>Jason olivos</v>
          </cell>
          <cell r="J96" t="str">
            <v>Por Actualizar</v>
          </cell>
          <cell r="K96">
            <v>46035</v>
          </cell>
        </row>
        <row r="97">
          <cell r="B97" t="str">
            <v>EXP_RancoTDDQ12026_95</v>
          </cell>
          <cell r="C97" t="str">
            <v>013302355_PI_Copeinca_R1</v>
          </cell>
          <cell r="D97" t="str">
            <v>M0821</v>
          </cell>
          <cell r="E97" t="str">
            <v>RANCO TDD ADELANTO Q1 2026</v>
          </cell>
          <cell r="F97" t="str">
            <v>Expansiones</v>
          </cell>
          <cell r="G97">
            <v>2026</v>
          </cell>
          <cell r="H97" t="str">
            <v>Q1</v>
          </cell>
          <cell r="I97" t="str">
            <v>Jason olivos</v>
          </cell>
          <cell r="J97" t="str">
            <v>Por Actualizar</v>
          </cell>
          <cell r="K97">
            <v>46035</v>
          </cell>
        </row>
        <row r="98">
          <cell r="B98" t="str">
            <v>EXP_RancoTDDQ12026_96</v>
          </cell>
          <cell r="C98" t="str">
            <v>0133045_JU_Chongos_Bajo_Ciudad</v>
          </cell>
          <cell r="D98" t="str">
            <v>M0821</v>
          </cell>
          <cell r="E98" t="str">
            <v>RANCO TDD ADELANTO Q1 2026</v>
          </cell>
          <cell r="F98" t="str">
            <v>Expansiones</v>
          </cell>
          <cell r="G98">
            <v>2026</v>
          </cell>
          <cell r="H98" t="str">
            <v>Q1</v>
          </cell>
          <cell r="I98" t="str">
            <v>Jason olivos</v>
          </cell>
          <cell r="J98" t="str">
            <v>Por Actualizar</v>
          </cell>
          <cell r="K98">
            <v>46035</v>
          </cell>
        </row>
        <row r="99">
          <cell r="B99" t="str">
            <v>EXP_RancoTDDQ12026_97</v>
          </cell>
          <cell r="C99" t="str">
            <v>0133056_JU_Huamanmarca</v>
          </cell>
          <cell r="D99" t="str">
            <v>M0821</v>
          </cell>
          <cell r="E99" t="str">
            <v>RANCO TDD ADELANTO Q1 2026</v>
          </cell>
          <cell r="F99" t="str">
            <v>Expansiones</v>
          </cell>
          <cell r="G99">
            <v>2026</v>
          </cell>
          <cell r="H99" t="str">
            <v>Q1</v>
          </cell>
          <cell r="I99" t="str">
            <v>Jason olivos</v>
          </cell>
          <cell r="J99" t="str">
            <v>Por Actualizar</v>
          </cell>
          <cell r="K99">
            <v>46035</v>
          </cell>
        </row>
        <row r="100">
          <cell r="B100" t="str">
            <v>EXP_RancoTDDQ12026_98</v>
          </cell>
          <cell r="C100" t="str">
            <v>0133085_JU_Reserva_Pichacoto</v>
          </cell>
          <cell r="D100" t="str">
            <v>M0821</v>
          </cell>
          <cell r="E100" t="str">
            <v>RANCO TDD ADELANTO Q1 2026</v>
          </cell>
          <cell r="F100" t="str">
            <v>Expansiones</v>
          </cell>
          <cell r="G100">
            <v>2026</v>
          </cell>
          <cell r="H100" t="str">
            <v>Q1</v>
          </cell>
          <cell r="I100" t="str">
            <v>Jason olivos</v>
          </cell>
          <cell r="J100" t="str">
            <v>Por Actualizar</v>
          </cell>
          <cell r="K100">
            <v>46035</v>
          </cell>
        </row>
        <row r="101">
          <cell r="B101" t="str">
            <v>EXP_RancoTDDQ12026_99</v>
          </cell>
          <cell r="C101" t="str">
            <v>0133090_JU_Alfonso_Mercadillo</v>
          </cell>
          <cell r="D101" t="str">
            <v>M0821</v>
          </cell>
          <cell r="E101" t="str">
            <v>RANCO TDD ADELANTO Q1 2026</v>
          </cell>
          <cell r="F101" t="str">
            <v>Expansiones</v>
          </cell>
          <cell r="G101">
            <v>2026</v>
          </cell>
          <cell r="H101" t="str">
            <v>Q1</v>
          </cell>
          <cell r="I101" t="str">
            <v>Jason olivos</v>
          </cell>
          <cell r="J101" t="str">
            <v>Por Actualizar</v>
          </cell>
          <cell r="K101">
            <v>46035</v>
          </cell>
        </row>
        <row r="102">
          <cell r="B102" t="str">
            <v>EXP_RancoTDDQ12026_100</v>
          </cell>
          <cell r="C102" t="str">
            <v>0133207_IC_Victoria_Pisco</v>
          </cell>
          <cell r="D102" t="str">
            <v>M0821</v>
          </cell>
          <cell r="E102" t="str">
            <v>RANCO TDD ADELANTO Q1 2026</v>
          </cell>
          <cell r="F102" t="str">
            <v>Expansiones</v>
          </cell>
          <cell r="G102">
            <v>2026</v>
          </cell>
          <cell r="H102" t="str">
            <v>Q1</v>
          </cell>
          <cell r="I102" t="str">
            <v>Jason olivos</v>
          </cell>
          <cell r="J102" t="str">
            <v>Por Actualizar</v>
          </cell>
          <cell r="K102">
            <v>46035</v>
          </cell>
        </row>
        <row r="103">
          <cell r="B103" t="str">
            <v>EXP_RancoTDDQ12026_101</v>
          </cell>
          <cell r="C103" t="str">
            <v>0133292_PI_La_Bocana</v>
          </cell>
          <cell r="D103" t="str">
            <v>M0821</v>
          </cell>
          <cell r="E103" t="str">
            <v>RANCO TDD ADELANTO Q1 2026</v>
          </cell>
          <cell r="F103" t="str">
            <v>Expansiones</v>
          </cell>
          <cell r="G103">
            <v>2026</v>
          </cell>
          <cell r="H103" t="str">
            <v>Q1</v>
          </cell>
          <cell r="I103" t="str">
            <v>Jason olivos</v>
          </cell>
          <cell r="J103" t="str">
            <v>Por Actualizar</v>
          </cell>
          <cell r="K103">
            <v>46035</v>
          </cell>
        </row>
        <row r="104">
          <cell r="B104" t="str">
            <v>EXP_RancoTDDQ12026_102</v>
          </cell>
          <cell r="C104" t="str">
            <v>0133441_LM_PS_Felipe_Pinglo</v>
          </cell>
          <cell r="D104" t="str">
            <v>M0821</v>
          </cell>
          <cell r="E104" t="str">
            <v>RANCO TDD ADELANTO Q1 2026</v>
          </cell>
          <cell r="F104" t="str">
            <v>Expansiones</v>
          </cell>
          <cell r="G104">
            <v>2026</v>
          </cell>
          <cell r="H104" t="str">
            <v>Q1</v>
          </cell>
          <cell r="I104" t="str">
            <v>Jason olivos</v>
          </cell>
          <cell r="J104" t="str">
            <v>Por Actualizar</v>
          </cell>
          <cell r="K104">
            <v>46035</v>
          </cell>
        </row>
        <row r="105">
          <cell r="B105" t="str">
            <v>EXP_RancoTDDQ12026_103</v>
          </cell>
          <cell r="C105" t="str">
            <v>0133449_LM_PS_IDAT</v>
          </cell>
          <cell r="D105" t="str">
            <v>M0821</v>
          </cell>
          <cell r="E105" t="str">
            <v>RANCO TDD ADELANTO Q1 2026</v>
          </cell>
          <cell r="F105" t="str">
            <v>Expansiones</v>
          </cell>
          <cell r="G105">
            <v>2026</v>
          </cell>
          <cell r="H105" t="str">
            <v>Q1</v>
          </cell>
          <cell r="I105" t="str">
            <v>Jason olivos</v>
          </cell>
          <cell r="J105" t="str">
            <v>Por Actualizar</v>
          </cell>
          <cell r="K105">
            <v>46035</v>
          </cell>
        </row>
        <row r="106">
          <cell r="B106" t="str">
            <v>EXP_RancoTDDQ12026_104</v>
          </cell>
          <cell r="C106" t="str">
            <v>0133588_LH_Olla_De_Barro</v>
          </cell>
          <cell r="D106" t="str">
            <v>M0821</v>
          </cell>
          <cell r="E106" t="str">
            <v>RANCO TDD ADELANTO Q1 2026</v>
          </cell>
          <cell r="F106" t="str">
            <v>Expansiones</v>
          </cell>
          <cell r="G106">
            <v>2026</v>
          </cell>
          <cell r="H106" t="str">
            <v>Q1</v>
          </cell>
          <cell r="I106" t="str">
            <v>Jason olivos</v>
          </cell>
          <cell r="J106" t="str">
            <v>Por Actualizar</v>
          </cell>
          <cell r="K106">
            <v>46035</v>
          </cell>
        </row>
        <row r="107">
          <cell r="B107" t="str">
            <v>EXP_RancoTDDQ12026_105</v>
          </cell>
          <cell r="C107" t="str">
            <v>0133687_LM_CC_Villa_R1</v>
          </cell>
          <cell r="D107" t="str">
            <v>M0821</v>
          </cell>
          <cell r="E107" t="str">
            <v>RANCO TDD ADELANTO Q1 2026</v>
          </cell>
          <cell r="F107" t="str">
            <v>Expansiones</v>
          </cell>
          <cell r="G107">
            <v>2026</v>
          </cell>
          <cell r="H107" t="str">
            <v>Q1</v>
          </cell>
          <cell r="I107" t="str">
            <v>Jason olivos</v>
          </cell>
          <cell r="J107" t="str">
            <v>Por Actualizar</v>
          </cell>
          <cell r="K107">
            <v>46035</v>
          </cell>
        </row>
        <row r="108">
          <cell r="B108" t="str">
            <v>EXP_RancoTDDQ12026_106</v>
          </cell>
          <cell r="C108" t="str">
            <v>0133818_AQ_Berlin_Aqp</v>
          </cell>
          <cell r="D108" t="str">
            <v>M0821</v>
          </cell>
          <cell r="E108" t="str">
            <v>RANCO TDD ADELANTO Q1 2026</v>
          </cell>
          <cell r="F108" t="str">
            <v>Expansiones</v>
          </cell>
          <cell r="G108">
            <v>2026</v>
          </cell>
          <cell r="H108" t="str">
            <v>Q1</v>
          </cell>
          <cell r="I108" t="str">
            <v>Jason olivos</v>
          </cell>
          <cell r="J108" t="str">
            <v>Por Actualizar</v>
          </cell>
          <cell r="K108">
            <v>46035</v>
          </cell>
        </row>
        <row r="109">
          <cell r="B109" t="str">
            <v>EXP_RancoTDDQ12026_107</v>
          </cell>
          <cell r="C109" t="str">
            <v>0133867_AQ_Alto_Cayma</v>
          </cell>
          <cell r="D109" t="str">
            <v>M0821</v>
          </cell>
          <cell r="E109" t="str">
            <v>RANCO TDD ADELANTO Q1 2026</v>
          </cell>
          <cell r="F109" t="str">
            <v>Expansiones</v>
          </cell>
          <cell r="G109">
            <v>2026</v>
          </cell>
          <cell r="H109" t="str">
            <v>Q1</v>
          </cell>
          <cell r="I109" t="str">
            <v>Jason olivos</v>
          </cell>
          <cell r="J109" t="str">
            <v>Por Actualizar</v>
          </cell>
          <cell r="K109">
            <v>46035</v>
          </cell>
        </row>
        <row r="110">
          <cell r="B110" t="str">
            <v>EXP_RancoTDDQ12026_108</v>
          </cell>
          <cell r="C110" t="str">
            <v>0133968_AQ_Belgrano</v>
          </cell>
          <cell r="D110" t="str">
            <v>M0821</v>
          </cell>
          <cell r="E110" t="str">
            <v>RANCO TDD ADELANTO Q1 2026</v>
          </cell>
          <cell r="F110" t="str">
            <v>Expansiones</v>
          </cell>
          <cell r="G110">
            <v>2026</v>
          </cell>
          <cell r="H110" t="str">
            <v>Q1</v>
          </cell>
          <cell r="I110" t="str">
            <v>Jason olivos</v>
          </cell>
          <cell r="J110" t="str">
            <v>Por Actualizar</v>
          </cell>
          <cell r="K110">
            <v>46035</v>
          </cell>
        </row>
        <row r="111">
          <cell r="B111" t="str">
            <v>EXP_RancoTDDQ12026_109</v>
          </cell>
          <cell r="C111" t="str">
            <v>0133984_AQ_Revolucion_Arequipa</v>
          </cell>
          <cell r="D111" t="str">
            <v>M0821</v>
          </cell>
          <cell r="E111" t="str">
            <v>RANCO TDD ADELANTO Q1 2026</v>
          </cell>
          <cell r="F111" t="str">
            <v>Expansiones</v>
          </cell>
          <cell r="G111">
            <v>2026</v>
          </cell>
          <cell r="H111" t="str">
            <v>Q1</v>
          </cell>
          <cell r="I111" t="str">
            <v>Jason olivos</v>
          </cell>
          <cell r="J111" t="str">
            <v>Por Actualizar</v>
          </cell>
          <cell r="K111">
            <v>46035</v>
          </cell>
        </row>
        <row r="112">
          <cell r="B112" t="str">
            <v>EXP_RancoTDDQ12026_110</v>
          </cell>
          <cell r="C112" t="str">
            <v>0134009_AQ_Progreso_48</v>
          </cell>
          <cell r="D112" t="str">
            <v>M0821</v>
          </cell>
          <cell r="E112" t="str">
            <v>RANCO TDD ADELANTO Q1 2026</v>
          </cell>
          <cell r="F112" t="str">
            <v>Expansiones</v>
          </cell>
          <cell r="G112">
            <v>2026</v>
          </cell>
          <cell r="H112" t="str">
            <v>Q1</v>
          </cell>
          <cell r="I112" t="str">
            <v>Jason olivos</v>
          </cell>
          <cell r="J112" t="str">
            <v>Por Actualizar</v>
          </cell>
          <cell r="K112">
            <v>46035</v>
          </cell>
        </row>
        <row r="113">
          <cell r="B113" t="str">
            <v>EXP_RancoTDDQ12026_111</v>
          </cell>
          <cell r="C113" t="str">
            <v>0134089_AQ_Angel_Monteagudo</v>
          </cell>
          <cell r="D113" t="str">
            <v>M0821</v>
          </cell>
          <cell r="E113" t="str">
            <v>RANCO TDD ADELANTO Q1 2026</v>
          </cell>
          <cell r="F113" t="str">
            <v>Expansiones</v>
          </cell>
          <cell r="G113">
            <v>2026</v>
          </cell>
          <cell r="H113" t="str">
            <v>Q1</v>
          </cell>
          <cell r="I113" t="str">
            <v>Jason olivos</v>
          </cell>
          <cell r="J113" t="str">
            <v>Por Actualizar</v>
          </cell>
          <cell r="K113">
            <v>46035</v>
          </cell>
        </row>
        <row r="114">
          <cell r="B114" t="str">
            <v>EXP_RancoTDDQ12026_112</v>
          </cell>
          <cell r="C114" t="str">
            <v>0134110_LI_Maria_Providencia</v>
          </cell>
          <cell r="D114" t="str">
            <v>M0821</v>
          </cell>
          <cell r="E114" t="str">
            <v>RANCO TDD ADELANTO Q1 2026</v>
          </cell>
          <cell r="F114" t="str">
            <v>Expansiones</v>
          </cell>
          <cell r="G114">
            <v>2026</v>
          </cell>
          <cell r="H114" t="str">
            <v>Q1</v>
          </cell>
          <cell r="I114" t="str">
            <v>Jason olivos</v>
          </cell>
          <cell r="J114" t="str">
            <v>Por Actualizar</v>
          </cell>
          <cell r="K114">
            <v>46035</v>
          </cell>
        </row>
        <row r="115">
          <cell r="B115" t="str">
            <v>EXP_RancoTDDQ12026_113</v>
          </cell>
          <cell r="C115" t="str">
            <v>0134115_LI_Chao</v>
          </cell>
          <cell r="D115" t="str">
            <v>M0821</v>
          </cell>
          <cell r="E115" t="str">
            <v>RANCO TDD ADELANTO Q1 2026</v>
          </cell>
          <cell r="F115" t="str">
            <v>Expansiones</v>
          </cell>
          <cell r="G115">
            <v>2026</v>
          </cell>
          <cell r="H115" t="str">
            <v>Q1</v>
          </cell>
          <cell r="I115" t="str">
            <v>Jason olivos</v>
          </cell>
          <cell r="J115" t="str">
            <v>Por Actualizar</v>
          </cell>
          <cell r="K115">
            <v>46035</v>
          </cell>
        </row>
        <row r="116">
          <cell r="B116" t="str">
            <v>EXP_RancoTDDQ12026_114</v>
          </cell>
          <cell r="C116" t="str">
            <v>0134155_LI_Upn</v>
          </cell>
          <cell r="D116" t="str">
            <v>M0821</v>
          </cell>
          <cell r="E116" t="str">
            <v>RANCO TDD ADELANTO Q1 2026</v>
          </cell>
          <cell r="F116" t="str">
            <v>Expansiones</v>
          </cell>
          <cell r="G116">
            <v>2026</v>
          </cell>
          <cell r="H116" t="str">
            <v>Q1</v>
          </cell>
          <cell r="I116" t="str">
            <v>Jason olivos</v>
          </cell>
          <cell r="J116" t="str">
            <v>Por Actualizar</v>
          </cell>
          <cell r="K116">
            <v>46035</v>
          </cell>
        </row>
        <row r="117">
          <cell r="B117" t="str">
            <v>EXP_RancoTDDQ12026_115</v>
          </cell>
          <cell r="C117" t="str">
            <v>0134158_LI_12_De_Setiembre</v>
          </cell>
          <cell r="D117" t="str">
            <v>M0821</v>
          </cell>
          <cell r="E117" t="str">
            <v>RANCO TDD ADELANTO Q1 2026</v>
          </cell>
          <cell r="F117" t="str">
            <v>Expansiones</v>
          </cell>
          <cell r="G117">
            <v>2026</v>
          </cell>
          <cell r="H117" t="str">
            <v>Q1</v>
          </cell>
          <cell r="I117" t="str">
            <v>Jason olivos</v>
          </cell>
          <cell r="J117" t="str">
            <v>Por Actualizar</v>
          </cell>
          <cell r="K117">
            <v>46035</v>
          </cell>
        </row>
        <row r="118">
          <cell r="B118" t="str">
            <v>EXP_RancoTDDQ12026_116</v>
          </cell>
          <cell r="C118" t="str">
            <v>0134190_LI_Arturo</v>
          </cell>
          <cell r="D118" t="str">
            <v>M0821</v>
          </cell>
          <cell r="E118" t="str">
            <v>RANCO TDD ADELANTO Q1 2026</v>
          </cell>
          <cell r="F118" t="str">
            <v>Expansiones</v>
          </cell>
          <cell r="G118">
            <v>2026</v>
          </cell>
          <cell r="H118" t="str">
            <v>Q1</v>
          </cell>
          <cell r="I118" t="str">
            <v>Jason olivos</v>
          </cell>
          <cell r="J118" t="str">
            <v>Por Actualizar</v>
          </cell>
          <cell r="K118">
            <v>46035</v>
          </cell>
        </row>
        <row r="119">
          <cell r="B119" t="str">
            <v>EXP_RancoTDDQ12026_117</v>
          </cell>
          <cell r="C119" t="str">
            <v>0134219_LM_El_Huaralino</v>
          </cell>
          <cell r="D119" t="str">
            <v>M0821</v>
          </cell>
          <cell r="E119" t="str">
            <v>RANCO TDD ADELANTO Q1 2026</v>
          </cell>
          <cell r="F119" t="str">
            <v>Expansiones</v>
          </cell>
          <cell r="G119">
            <v>2026</v>
          </cell>
          <cell r="H119" t="str">
            <v>Q1</v>
          </cell>
          <cell r="I119" t="str">
            <v>Jason olivos</v>
          </cell>
          <cell r="J119" t="str">
            <v>Por Actualizar</v>
          </cell>
          <cell r="K119">
            <v>46035</v>
          </cell>
        </row>
        <row r="120">
          <cell r="B120" t="str">
            <v>EXP_RancoTDDQ12026_118</v>
          </cell>
          <cell r="C120" t="str">
            <v>0134230_LI_Chiclin</v>
          </cell>
          <cell r="D120" t="str">
            <v>M0821</v>
          </cell>
          <cell r="E120" t="str">
            <v>RANCO TDD ADELANTO Q1 2026</v>
          </cell>
          <cell r="F120" t="str">
            <v>Expansiones</v>
          </cell>
          <cell r="G120">
            <v>2026</v>
          </cell>
          <cell r="H120" t="str">
            <v>Q1</v>
          </cell>
          <cell r="I120" t="str">
            <v>Jason olivos</v>
          </cell>
          <cell r="J120" t="str">
            <v>Por Actualizar</v>
          </cell>
          <cell r="K120">
            <v>46035</v>
          </cell>
        </row>
        <row r="121">
          <cell r="B121" t="str">
            <v>EXP_RancoTDDQ12026_119</v>
          </cell>
          <cell r="C121" t="str">
            <v>0134236_LI_Quiruvilca</v>
          </cell>
          <cell r="D121" t="str">
            <v>M0821</v>
          </cell>
          <cell r="E121" t="str">
            <v>RANCO TDD ADELANTO Q1 2026</v>
          </cell>
          <cell r="F121" t="str">
            <v>Expansiones</v>
          </cell>
          <cell r="G121">
            <v>2026</v>
          </cell>
          <cell r="H121" t="str">
            <v>Q1</v>
          </cell>
          <cell r="I121" t="str">
            <v>Jason olivos</v>
          </cell>
          <cell r="J121" t="str">
            <v>Por Actualizar</v>
          </cell>
          <cell r="K121">
            <v>46035</v>
          </cell>
        </row>
        <row r="122">
          <cell r="B122" t="str">
            <v>EXP_RancoTDDQ12026_120</v>
          </cell>
          <cell r="C122" t="str">
            <v>0134244_LI_Huamachuco</v>
          </cell>
          <cell r="D122" t="str">
            <v>M0821</v>
          </cell>
          <cell r="E122" t="str">
            <v>RANCO TDD ADELANTO Q1 2026</v>
          </cell>
          <cell r="F122" t="str">
            <v>Expansiones</v>
          </cell>
          <cell r="G122">
            <v>2026</v>
          </cell>
          <cell r="H122" t="str">
            <v>Q1</v>
          </cell>
          <cell r="I122" t="str">
            <v>Jason olivos</v>
          </cell>
          <cell r="J122" t="str">
            <v>Por Actualizar</v>
          </cell>
          <cell r="K122">
            <v>46035</v>
          </cell>
        </row>
        <row r="123">
          <cell r="B123" t="str">
            <v>EXP_RancoTDDQ12026_121</v>
          </cell>
          <cell r="C123" t="str">
            <v>0134259_JU_Punto_2_Chinalco</v>
          </cell>
          <cell r="D123" t="str">
            <v>M0821</v>
          </cell>
          <cell r="E123" t="str">
            <v>RANCO TDD ADELANTO Q1 2026</v>
          </cell>
          <cell r="F123" t="str">
            <v>Expansiones</v>
          </cell>
          <cell r="G123">
            <v>2026</v>
          </cell>
          <cell r="H123" t="str">
            <v>Q1</v>
          </cell>
          <cell r="I123" t="str">
            <v>Jason olivos</v>
          </cell>
          <cell r="J123" t="str">
            <v>Por Actualizar</v>
          </cell>
          <cell r="K123">
            <v>46035</v>
          </cell>
        </row>
        <row r="124">
          <cell r="B124" t="str">
            <v>EXP_RancoTDDQ12026_122</v>
          </cell>
          <cell r="C124" t="str">
            <v>0134277_LI_Trujillo_Junin</v>
          </cell>
          <cell r="D124" t="str">
            <v>M0821</v>
          </cell>
          <cell r="E124" t="str">
            <v>RANCO TDD ADELANTO Q1 2026</v>
          </cell>
          <cell r="F124" t="str">
            <v>Expansiones</v>
          </cell>
          <cell r="G124">
            <v>2026</v>
          </cell>
          <cell r="H124" t="str">
            <v>Q1</v>
          </cell>
          <cell r="I124" t="str">
            <v>Jason olivos</v>
          </cell>
          <cell r="J124" t="str">
            <v>Por Actualizar</v>
          </cell>
          <cell r="K124">
            <v>46035</v>
          </cell>
        </row>
        <row r="125">
          <cell r="B125" t="str">
            <v>EXP_RancoTDDQ12026_123</v>
          </cell>
          <cell r="C125" t="str">
            <v>0134286_LI_Miramar_Moche</v>
          </cell>
          <cell r="D125" t="str">
            <v>M0821</v>
          </cell>
          <cell r="E125" t="str">
            <v>RANCO TDD ADELANTO Q1 2026</v>
          </cell>
          <cell r="F125" t="str">
            <v>Expansiones</v>
          </cell>
          <cell r="G125">
            <v>2026</v>
          </cell>
          <cell r="H125" t="str">
            <v>Q1</v>
          </cell>
          <cell r="I125" t="str">
            <v>Jason olivos</v>
          </cell>
          <cell r="J125" t="str">
            <v>Por Actualizar</v>
          </cell>
          <cell r="K125">
            <v>46035</v>
          </cell>
        </row>
        <row r="126">
          <cell r="B126" t="str">
            <v>EXP_RancoTDDQ12026_124</v>
          </cell>
          <cell r="C126" t="str">
            <v>0134297_LI_Puerto_Morin</v>
          </cell>
          <cell r="D126" t="str">
            <v>M0821</v>
          </cell>
          <cell r="E126" t="str">
            <v>RANCO TDD ADELANTO Q1 2026</v>
          </cell>
          <cell r="F126" t="str">
            <v>Expansiones</v>
          </cell>
          <cell r="G126">
            <v>2026</v>
          </cell>
          <cell r="H126" t="str">
            <v>Q1</v>
          </cell>
          <cell r="I126" t="str">
            <v>Jason olivos</v>
          </cell>
          <cell r="J126" t="str">
            <v>Por Actualizar</v>
          </cell>
          <cell r="K126">
            <v>46035</v>
          </cell>
        </row>
        <row r="127">
          <cell r="B127" t="str">
            <v>EXP_RancoTDDQ12026_125</v>
          </cell>
          <cell r="C127" t="str">
            <v>0134395_JU_Hatun_Sausa</v>
          </cell>
          <cell r="D127" t="str">
            <v>M0821</v>
          </cell>
          <cell r="E127" t="str">
            <v>RANCO TDD ADELANTO Q1 2026</v>
          </cell>
          <cell r="F127" t="str">
            <v>Expansiones</v>
          </cell>
          <cell r="G127">
            <v>2026</v>
          </cell>
          <cell r="H127" t="str">
            <v>Q1</v>
          </cell>
          <cell r="I127" t="str">
            <v>Jason olivos</v>
          </cell>
          <cell r="J127" t="str">
            <v>Por Actualizar</v>
          </cell>
          <cell r="K127">
            <v>46035</v>
          </cell>
        </row>
        <row r="128">
          <cell r="B128" t="str">
            <v>EXP_RancoTDDQ12026_126</v>
          </cell>
          <cell r="C128" t="str">
            <v>0134469_LM_Entrada_Huachipa</v>
          </cell>
          <cell r="D128" t="str">
            <v>M0821</v>
          </cell>
          <cell r="E128" t="str">
            <v>RANCO TDD ADELANTO Q1 2026</v>
          </cell>
          <cell r="F128" t="str">
            <v>Expansiones</v>
          </cell>
          <cell r="G128">
            <v>2026</v>
          </cell>
          <cell r="H128" t="str">
            <v>Q1</v>
          </cell>
          <cell r="I128" t="str">
            <v>Jason olivos</v>
          </cell>
          <cell r="J128" t="str">
            <v>Por Actualizar</v>
          </cell>
          <cell r="K128">
            <v>46035</v>
          </cell>
        </row>
        <row r="129">
          <cell r="B129" t="str">
            <v>EXP_RancoTDDQ12026_127</v>
          </cell>
          <cell r="C129" t="str">
            <v>0134503_LM_Lazareto</v>
          </cell>
          <cell r="D129" t="str">
            <v>M0821</v>
          </cell>
          <cell r="E129" t="str">
            <v>RANCO TDD ADELANTO Q1 2026</v>
          </cell>
          <cell r="F129" t="str">
            <v>Expansiones</v>
          </cell>
          <cell r="G129">
            <v>2026</v>
          </cell>
          <cell r="H129" t="str">
            <v>Q1</v>
          </cell>
          <cell r="I129" t="str">
            <v>Jason olivos</v>
          </cell>
          <cell r="J129" t="str">
            <v>Por Actualizar</v>
          </cell>
          <cell r="K129">
            <v>46035</v>
          </cell>
        </row>
        <row r="130">
          <cell r="B130" t="str">
            <v>EXP_RancoTDDQ12026_128</v>
          </cell>
          <cell r="C130" t="str">
            <v>0134562_LM_PS_Pablo_Conti</v>
          </cell>
          <cell r="D130" t="str">
            <v>M0821</v>
          </cell>
          <cell r="E130" t="str">
            <v>RANCO TDD ADELANTO Q1 2026</v>
          </cell>
          <cell r="F130" t="str">
            <v>Expansiones</v>
          </cell>
          <cell r="G130">
            <v>2026</v>
          </cell>
          <cell r="H130" t="str">
            <v>Q1</v>
          </cell>
          <cell r="I130" t="str">
            <v>Jason olivos</v>
          </cell>
          <cell r="J130" t="str">
            <v>Por Actualizar</v>
          </cell>
          <cell r="K130">
            <v>46035</v>
          </cell>
        </row>
        <row r="131">
          <cell r="B131" t="str">
            <v>EXP_RancoTDDQ12026_129</v>
          </cell>
          <cell r="C131" t="str">
            <v>0134588_LM_Pedro_Paulet</v>
          </cell>
          <cell r="D131" t="str">
            <v>M0821</v>
          </cell>
          <cell r="E131" t="str">
            <v>RANCO TDD ADELANTO Q1 2026</v>
          </cell>
          <cell r="F131" t="str">
            <v>Expansiones</v>
          </cell>
          <cell r="G131">
            <v>2026</v>
          </cell>
          <cell r="H131" t="str">
            <v>Q1</v>
          </cell>
          <cell r="I131" t="str">
            <v>Jason olivos</v>
          </cell>
          <cell r="J131" t="str">
            <v>Por Actualizar</v>
          </cell>
          <cell r="K131">
            <v>46035</v>
          </cell>
        </row>
        <row r="132">
          <cell r="B132" t="str">
            <v>EXP_RancoTDDQ12026_130</v>
          </cell>
          <cell r="C132" t="str">
            <v>0134596_LM_Club_Arabe</v>
          </cell>
          <cell r="D132" t="str">
            <v>M0821</v>
          </cell>
          <cell r="E132" t="str">
            <v>RANCO TDD ADELANTO Q1 2026</v>
          </cell>
          <cell r="F132" t="str">
            <v>Expansiones</v>
          </cell>
          <cell r="G132">
            <v>2026</v>
          </cell>
          <cell r="H132" t="str">
            <v>Q1</v>
          </cell>
          <cell r="I132" t="str">
            <v>Jason olivos</v>
          </cell>
          <cell r="J132" t="str">
            <v>Por Actualizar</v>
          </cell>
          <cell r="K132">
            <v>46035</v>
          </cell>
        </row>
        <row r="133">
          <cell r="B133" t="str">
            <v>EXP_RancoTDDQ12026_131</v>
          </cell>
          <cell r="C133" t="str">
            <v>0134597_LM_PS_Primavera_ATE</v>
          </cell>
          <cell r="D133" t="str">
            <v>M0821</v>
          </cell>
          <cell r="E133" t="str">
            <v>RANCO TDD ADELANTO Q1 2026</v>
          </cell>
          <cell r="F133" t="str">
            <v>Expansiones</v>
          </cell>
          <cell r="G133">
            <v>2026</v>
          </cell>
          <cell r="H133" t="str">
            <v>Q1</v>
          </cell>
          <cell r="I133" t="str">
            <v>Jason olivos</v>
          </cell>
          <cell r="J133" t="str">
            <v>Por Actualizar</v>
          </cell>
          <cell r="K133">
            <v>46035</v>
          </cell>
        </row>
        <row r="134">
          <cell r="B134" t="str">
            <v>EXP_RancoTDDQ12026_132</v>
          </cell>
          <cell r="C134" t="str">
            <v>0134656_LM_Mendiola_R1</v>
          </cell>
          <cell r="D134" t="str">
            <v>M0821</v>
          </cell>
          <cell r="E134" t="str">
            <v>RANCO TDD ADELANTO Q1 2026</v>
          </cell>
          <cell r="F134" t="str">
            <v>Expansiones</v>
          </cell>
          <cell r="G134">
            <v>2026</v>
          </cell>
          <cell r="H134" t="str">
            <v>Q1</v>
          </cell>
          <cell r="I134" t="str">
            <v>Jason olivos</v>
          </cell>
          <cell r="J134" t="str">
            <v>Por Actualizar</v>
          </cell>
          <cell r="K134">
            <v>46035</v>
          </cell>
        </row>
        <row r="135">
          <cell r="B135" t="str">
            <v>EXP_RancoTDDQ12026_133</v>
          </cell>
          <cell r="C135" t="str">
            <v>0134692_JU_Amelia_Oyague</v>
          </cell>
          <cell r="D135" t="str">
            <v>M0821</v>
          </cell>
          <cell r="E135" t="str">
            <v>RANCO TDD ADELANTO Q1 2026</v>
          </cell>
          <cell r="F135" t="str">
            <v>Expansiones</v>
          </cell>
          <cell r="G135">
            <v>2026</v>
          </cell>
          <cell r="H135" t="str">
            <v>Q1</v>
          </cell>
          <cell r="I135" t="str">
            <v>Jason olivos</v>
          </cell>
          <cell r="J135" t="str">
            <v>Por Actualizar</v>
          </cell>
          <cell r="K135">
            <v>46035</v>
          </cell>
        </row>
        <row r="136">
          <cell r="B136" t="str">
            <v>EXP_RancoTDDQ12026_134</v>
          </cell>
          <cell r="C136" t="str">
            <v>0134694_JU_Dos_Gardenias</v>
          </cell>
          <cell r="D136" t="str">
            <v>M0821</v>
          </cell>
          <cell r="E136" t="str">
            <v>RANCO TDD ADELANTO Q1 2026</v>
          </cell>
          <cell r="F136" t="str">
            <v>Expansiones</v>
          </cell>
          <cell r="G136">
            <v>2026</v>
          </cell>
          <cell r="H136" t="str">
            <v>Q1</v>
          </cell>
          <cell r="I136" t="str">
            <v>Jason olivos</v>
          </cell>
          <cell r="J136" t="str">
            <v>Por Actualizar</v>
          </cell>
          <cell r="K136">
            <v>46035</v>
          </cell>
        </row>
        <row r="137">
          <cell r="B137" t="str">
            <v>EXP_RancoTDDQ12026_135</v>
          </cell>
          <cell r="C137" t="str">
            <v>0135020_AQ_PS_Villa_Las_Canteras</v>
          </cell>
          <cell r="D137" t="str">
            <v>M0821</v>
          </cell>
          <cell r="E137" t="str">
            <v>RANCO TDD ADELANTO Q1 2026</v>
          </cell>
          <cell r="F137" t="str">
            <v>Expansiones</v>
          </cell>
          <cell r="G137">
            <v>2026</v>
          </cell>
          <cell r="H137" t="str">
            <v>Q1</v>
          </cell>
          <cell r="I137" t="str">
            <v>Jason olivos</v>
          </cell>
          <cell r="J137" t="str">
            <v>Por Actualizar</v>
          </cell>
          <cell r="K137">
            <v>46035</v>
          </cell>
        </row>
        <row r="138">
          <cell r="B138" t="str">
            <v>EXP_RancoTDDQ12026_136</v>
          </cell>
          <cell r="C138" t="str">
            <v>0135028_LM_El_Descanso_De_Ate</v>
          </cell>
          <cell r="D138" t="str">
            <v>M0821</v>
          </cell>
          <cell r="E138" t="str">
            <v>RANCO TDD ADELANTO Q1 2026</v>
          </cell>
          <cell r="F138" t="str">
            <v>Expansiones</v>
          </cell>
          <cell r="G138">
            <v>2026</v>
          </cell>
          <cell r="H138" t="str">
            <v>Q1</v>
          </cell>
          <cell r="I138" t="str">
            <v>Jason olivos</v>
          </cell>
          <cell r="J138" t="str">
            <v>Por Actualizar</v>
          </cell>
          <cell r="K138">
            <v>46035</v>
          </cell>
        </row>
        <row r="139">
          <cell r="B139" t="str">
            <v>EXP_RancoTDDQ12026_137</v>
          </cell>
          <cell r="C139" t="str">
            <v>0135072_LM_Los_Chancas</v>
          </cell>
          <cell r="D139" t="str">
            <v>M0821</v>
          </cell>
          <cell r="E139" t="str">
            <v>RANCO TDD ADELANTO Q1 2026</v>
          </cell>
          <cell r="F139" t="str">
            <v>Expansiones</v>
          </cell>
          <cell r="G139">
            <v>2026</v>
          </cell>
          <cell r="H139" t="str">
            <v>Q1</v>
          </cell>
          <cell r="I139" t="str">
            <v>Jason olivos</v>
          </cell>
          <cell r="J139" t="str">
            <v>Por Actualizar</v>
          </cell>
          <cell r="K139">
            <v>46035</v>
          </cell>
        </row>
        <row r="140">
          <cell r="B140" t="str">
            <v>EXP_RancoTDDQ12026_138</v>
          </cell>
          <cell r="C140" t="str">
            <v>0135081_LM_PS_Dona_Marcela</v>
          </cell>
          <cell r="D140" t="str">
            <v>M0821</v>
          </cell>
          <cell r="E140" t="str">
            <v>RANCO TDD ADELANTO Q1 2026</v>
          </cell>
          <cell r="F140" t="str">
            <v>Expansiones</v>
          </cell>
          <cell r="G140">
            <v>2026</v>
          </cell>
          <cell r="H140" t="str">
            <v>Q1</v>
          </cell>
          <cell r="I140" t="str">
            <v>Jason olivos</v>
          </cell>
          <cell r="J140" t="str">
            <v>Por Actualizar</v>
          </cell>
          <cell r="K140">
            <v>46035</v>
          </cell>
        </row>
        <row r="141">
          <cell r="B141" t="str">
            <v>EXP_RancoTDDQ12026_139</v>
          </cell>
          <cell r="C141" t="str">
            <v>0135109_LM_Ovalo_Balta</v>
          </cell>
          <cell r="D141" t="str">
            <v>M0821</v>
          </cell>
          <cell r="E141" t="str">
            <v>RANCO TDD ADELANTO Q1 2026</v>
          </cell>
          <cell r="F141" t="str">
            <v>Expansiones</v>
          </cell>
          <cell r="G141">
            <v>2026</v>
          </cell>
          <cell r="H141" t="str">
            <v>Q1</v>
          </cell>
          <cell r="I141" t="str">
            <v>Jason olivos</v>
          </cell>
          <cell r="J141" t="str">
            <v>Por Actualizar</v>
          </cell>
          <cell r="K141">
            <v>46035</v>
          </cell>
        </row>
        <row r="142">
          <cell r="B142" t="str">
            <v>EXP_RancoTDDQ12026_140</v>
          </cell>
          <cell r="C142" t="str">
            <v>0135132_LM_Eloy_Ureta</v>
          </cell>
          <cell r="D142" t="str">
            <v>M0821</v>
          </cell>
          <cell r="E142" t="str">
            <v>RANCO TDD ADELANTO Q1 2026</v>
          </cell>
          <cell r="F142" t="str">
            <v>Expansiones</v>
          </cell>
          <cell r="G142">
            <v>2026</v>
          </cell>
          <cell r="H142" t="str">
            <v>Q1</v>
          </cell>
          <cell r="I142" t="str">
            <v>Jason olivos</v>
          </cell>
          <cell r="J142" t="str">
            <v>Por Actualizar</v>
          </cell>
          <cell r="K142">
            <v>46035</v>
          </cell>
        </row>
        <row r="143">
          <cell r="B143" t="str">
            <v>EXP_RancoTDDQ12026_141</v>
          </cell>
          <cell r="C143" t="str">
            <v>0135137_LM_PS_Ovalo_Izaguirre</v>
          </cell>
          <cell r="D143" t="str">
            <v>M0821</v>
          </cell>
          <cell r="E143" t="str">
            <v>RANCO TDD ADELANTO Q1 2026</v>
          </cell>
          <cell r="F143" t="str">
            <v>Expansiones</v>
          </cell>
          <cell r="G143">
            <v>2026</v>
          </cell>
          <cell r="H143" t="str">
            <v>Q1</v>
          </cell>
          <cell r="I143" t="str">
            <v>Jason olivos</v>
          </cell>
          <cell r="J143" t="str">
            <v>Por Actualizar</v>
          </cell>
          <cell r="K143">
            <v>46035</v>
          </cell>
        </row>
        <row r="144">
          <cell r="B144" t="str">
            <v>EXP_RancoTDDQ12026_142</v>
          </cell>
          <cell r="C144" t="str">
            <v>0135154_LM_PS_Arriba_Peru</v>
          </cell>
          <cell r="D144" t="str">
            <v>M0821</v>
          </cell>
          <cell r="E144" t="str">
            <v>RANCO TDD ADELANTO Q1 2026</v>
          </cell>
          <cell r="F144" t="str">
            <v>Expansiones</v>
          </cell>
          <cell r="G144">
            <v>2026</v>
          </cell>
          <cell r="H144" t="str">
            <v>Q1</v>
          </cell>
          <cell r="I144" t="str">
            <v>Jason olivos</v>
          </cell>
          <cell r="J144" t="str">
            <v>Por Actualizar</v>
          </cell>
          <cell r="K144">
            <v>46035</v>
          </cell>
        </row>
        <row r="145">
          <cell r="B145" t="str">
            <v>EXP_RancoTDDQ12026_143</v>
          </cell>
          <cell r="C145" t="str">
            <v>0135173_LM_PS_Ladrillos_Lark</v>
          </cell>
          <cell r="D145" t="str">
            <v>M0821</v>
          </cell>
          <cell r="E145" t="str">
            <v>RANCO TDD ADELANTO Q1 2026</v>
          </cell>
          <cell r="F145" t="str">
            <v>Expansiones</v>
          </cell>
          <cell r="G145">
            <v>2026</v>
          </cell>
          <cell r="H145" t="str">
            <v>Q1</v>
          </cell>
          <cell r="I145" t="str">
            <v>Jason olivos</v>
          </cell>
          <cell r="J145" t="str">
            <v>Por Actualizar</v>
          </cell>
          <cell r="K145">
            <v>46035</v>
          </cell>
        </row>
        <row r="146">
          <cell r="B146" t="str">
            <v>EXP_RancoTDDQ12026_144</v>
          </cell>
          <cell r="C146" t="str">
            <v>0135189_LM_Entrada_Carapongo</v>
          </cell>
          <cell r="D146" t="str">
            <v>M0821</v>
          </cell>
          <cell r="E146" t="str">
            <v>RANCO TDD ADELANTO Q1 2026</v>
          </cell>
          <cell r="F146" t="str">
            <v>Expansiones</v>
          </cell>
          <cell r="G146">
            <v>2026</v>
          </cell>
          <cell r="H146" t="str">
            <v>Q1</v>
          </cell>
          <cell r="I146" t="str">
            <v>Jason olivos</v>
          </cell>
          <cell r="J146" t="str">
            <v>Por Actualizar</v>
          </cell>
          <cell r="K146">
            <v>46035</v>
          </cell>
        </row>
        <row r="147">
          <cell r="B147" t="str">
            <v>EXP_RancoTDDQ12026_145</v>
          </cell>
          <cell r="C147" t="str">
            <v>0135264_LM_Andres_A_Caceres</v>
          </cell>
          <cell r="D147" t="str">
            <v>M0821</v>
          </cell>
          <cell r="E147" t="str">
            <v>RANCO TDD ADELANTO Q1 2026</v>
          </cell>
          <cell r="F147" t="str">
            <v>Expansiones</v>
          </cell>
          <cell r="G147">
            <v>2026</v>
          </cell>
          <cell r="H147" t="str">
            <v>Q1</v>
          </cell>
          <cell r="I147" t="str">
            <v>Jason olivos</v>
          </cell>
          <cell r="J147" t="str">
            <v>Por Actualizar</v>
          </cell>
          <cell r="K147">
            <v>46035</v>
          </cell>
        </row>
        <row r="148">
          <cell r="B148" t="str">
            <v>EXP_RancoTDDQ12026_146</v>
          </cell>
          <cell r="C148" t="str">
            <v>0135290_LM_Pueblo_Joven</v>
          </cell>
          <cell r="D148" t="str">
            <v>M0821</v>
          </cell>
          <cell r="E148" t="str">
            <v>RANCO TDD ADELANTO Q1 2026</v>
          </cell>
          <cell r="F148" t="str">
            <v>Expansiones</v>
          </cell>
          <cell r="G148">
            <v>2026</v>
          </cell>
          <cell r="H148" t="str">
            <v>Q1</v>
          </cell>
          <cell r="I148" t="str">
            <v>Jason olivos</v>
          </cell>
          <cell r="J148" t="str">
            <v>Por Actualizar</v>
          </cell>
          <cell r="K148">
            <v>46035</v>
          </cell>
        </row>
        <row r="149">
          <cell r="B149" t="str">
            <v>EXP_RancoTDDQ12026_147</v>
          </cell>
          <cell r="C149" t="str">
            <v>0135342_LM_Hamburgo</v>
          </cell>
          <cell r="D149" t="str">
            <v>M0821</v>
          </cell>
          <cell r="E149" t="str">
            <v>RANCO TDD ADELANTO Q1 2026</v>
          </cell>
          <cell r="F149" t="str">
            <v>Expansiones</v>
          </cell>
          <cell r="G149">
            <v>2026</v>
          </cell>
          <cell r="H149" t="str">
            <v>Q1</v>
          </cell>
          <cell r="I149" t="str">
            <v>Jason olivos</v>
          </cell>
          <cell r="J149" t="str">
            <v>Por Actualizar</v>
          </cell>
          <cell r="K149">
            <v>46035</v>
          </cell>
        </row>
        <row r="150">
          <cell r="B150" t="str">
            <v>EXP_RancoTDDQ12026_148</v>
          </cell>
          <cell r="C150" t="str">
            <v>0135352_LM_San_Diego_De_Alcala</v>
          </cell>
          <cell r="D150" t="str">
            <v>M0821</v>
          </cell>
          <cell r="E150" t="str">
            <v>RANCO TDD ADELANTO Q1 2026</v>
          </cell>
          <cell r="F150" t="str">
            <v>Expansiones</v>
          </cell>
          <cell r="G150">
            <v>2026</v>
          </cell>
          <cell r="H150" t="str">
            <v>Q1</v>
          </cell>
          <cell r="I150" t="str">
            <v>Jason olivos</v>
          </cell>
          <cell r="J150" t="str">
            <v>Por Actualizar</v>
          </cell>
          <cell r="K150">
            <v>46035</v>
          </cell>
        </row>
        <row r="151">
          <cell r="B151" t="str">
            <v>EXP_RancoTDDQ12026_149</v>
          </cell>
          <cell r="C151" t="str">
            <v>0135372_LM_Nuevo_Peru</v>
          </cell>
          <cell r="D151" t="str">
            <v>M0821</v>
          </cell>
          <cell r="E151" t="str">
            <v>RANCO TDD ADELANTO Q1 2026</v>
          </cell>
          <cell r="F151" t="str">
            <v>Expansiones</v>
          </cell>
          <cell r="G151">
            <v>2026</v>
          </cell>
          <cell r="H151" t="str">
            <v>Q1</v>
          </cell>
          <cell r="I151" t="str">
            <v>Jason olivos</v>
          </cell>
          <cell r="J151" t="str">
            <v>Por Actualizar</v>
          </cell>
          <cell r="K151">
            <v>46035</v>
          </cell>
        </row>
        <row r="152">
          <cell r="B152" t="str">
            <v>EXP_RancoTDDQ12026_150</v>
          </cell>
          <cell r="C152" t="str">
            <v>0135403_LM_Cementerio_Puente</v>
          </cell>
          <cell r="D152" t="str">
            <v>M0821</v>
          </cell>
          <cell r="E152" t="str">
            <v>RANCO TDD ADELANTO Q1 2026</v>
          </cell>
          <cell r="F152" t="str">
            <v>Expansiones</v>
          </cell>
          <cell r="G152">
            <v>2026</v>
          </cell>
          <cell r="H152" t="str">
            <v>Q1</v>
          </cell>
          <cell r="I152" t="str">
            <v>Jason olivos</v>
          </cell>
          <cell r="J152" t="str">
            <v>Por Actualizar</v>
          </cell>
          <cell r="K152">
            <v>46035</v>
          </cell>
        </row>
        <row r="153">
          <cell r="B153" t="str">
            <v>EXP_RancoTDDQ12026_151</v>
          </cell>
          <cell r="C153" t="str">
            <v>0135560_LM_Planicie_De_Canto</v>
          </cell>
          <cell r="D153" t="str">
            <v>M0821</v>
          </cell>
          <cell r="E153" t="str">
            <v>RANCO TDD ADELANTO Q1 2026</v>
          </cell>
          <cell r="F153" t="str">
            <v>Expansiones</v>
          </cell>
          <cell r="G153">
            <v>2026</v>
          </cell>
          <cell r="H153" t="str">
            <v>Q1</v>
          </cell>
          <cell r="I153" t="str">
            <v>Jason olivos</v>
          </cell>
          <cell r="J153" t="str">
            <v>Por Actualizar</v>
          </cell>
          <cell r="K153">
            <v>46035</v>
          </cell>
        </row>
        <row r="154">
          <cell r="B154" t="str">
            <v>EXP_RancoTDDQ12026_152</v>
          </cell>
          <cell r="C154" t="str">
            <v>0135580_LM_Parque_Zonal_Wiraco</v>
          </cell>
          <cell r="D154" t="str">
            <v>M0821</v>
          </cell>
          <cell r="E154" t="str">
            <v>RANCO TDD ADELANTO Q1 2026</v>
          </cell>
          <cell r="F154" t="str">
            <v>Expansiones</v>
          </cell>
          <cell r="G154">
            <v>2026</v>
          </cell>
          <cell r="H154" t="str">
            <v>Q1</v>
          </cell>
          <cell r="I154" t="str">
            <v>Jason olivos</v>
          </cell>
          <cell r="J154" t="str">
            <v>Por Actualizar</v>
          </cell>
          <cell r="K154">
            <v>46035</v>
          </cell>
        </row>
        <row r="155">
          <cell r="B155" t="str">
            <v>EXP_RancoTDDQ12026_153</v>
          </cell>
          <cell r="C155" t="str">
            <v>0135618_LM_Sacramento</v>
          </cell>
          <cell r="D155" t="str">
            <v>M0821</v>
          </cell>
          <cell r="E155" t="str">
            <v>RANCO TDD ADELANTO Q1 2026</v>
          </cell>
          <cell r="F155" t="str">
            <v>Expansiones</v>
          </cell>
          <cell r="G155">
            <v>2026</v>
          </cell>
          <cell r="H155" t="str">
            <v>Q1</v>
          </cell>
          <cell r="I155" t="str">
            <v>Jason olivos</v>
          </cell>
          <cell r="J155" t="str">
            <v>Por Actualizar</v>
          </cell>
          <cell r="K155">
            <v>46035</v>
          </cell>
        </row>
        <row r="156">
          <cell r="B156" t="str">
            <v>EXP_RancoTDDQ12026_154</v>
          </cell>
          <cell r="C156" t="str">
            <v>0135622_LM_Raucana</v>
          </cell>
          <cell r="D156" t="str">
            <v>M0821</v>
          </cell>
          <cell r="E156" t="str">
            <v>RANCO TDD ADELANTO Q1 2026</v>
          </cell>
          <cell r="F156" t="str">
            <v>Expansiones</v>
          </cell>
          <cell r="G156">
            <v>2026</v>
          </cell>
          <cell r="H156" t="str">
            <v>Q1</v>
          </cell>
          <cell r="I156" t="str">
            <v>Jason olivos</v>
          </cell>
          <cell r="J156" t="str">
            <v>Por Actualizar</v>
          </cell>
          <cell r="K156">
            <v>46035</v>
          </cell>
        </row>
        <row r="157">
          <cell r="B157" t="str">
            <v>EXP_RancoTDDQ12026_155</v>
          </cell>
          <cell r="C157" t="str">
            <v>0135626_LM_PS_Ashaninka</v>
          </cell>
          <cell r="D157" t="str">
            <v>M0821</v>
          </cell>
          <cell r="E157" t="str">
            <v>RANCO TDD ADELANTO Q1 2026</v>
          </cell>
          <cell r="F157" t="str">
            <v>Expansiones</v>
          </cell>
          <cell r="G157">
            <v>2026</v>
          </cell>
          <cell r="H157" t="str">
            <v>Q1</v>
          </cell>
          <cell r="I157" t="str">
            <v>Jason olivos</v>
          </cell>
          <cell r="J157" t="str">
            <v>Por Actualizar</v>
          </cell>
          <cell r="K157">
            <v>46035</v>
          </cell>
        </row>
        <row r="158">
          <cell r="B158" t="str">
            <v>EXP_RancoTDDQ12026_156</v>
          </cell>
          <cell r="C158" t="str">
            <v>0135670_LM_Esparcimiento</v>
          </cell>
          <cell r="D158" t="str">
            <v>M0821</v>
          </cell>
          <cell r="E158" t="str">
            <v>RANCO TDD ADELANTO Q1 2026</v>
          </cell>
          <cell r="F158" t="str">
            <v>Expansiones</v>
          </cell>
          <cell r="G158">
            <v>2026</v>
          </cell>
          <cell r="H158" t="str">
            <v>Q1</v>
          </cell>
          <cell r="I158" t="str">
            <v>Jason olivos</v>
          </cell>
          <cell r="J158" t="str">
            <v>Por Actualizar</v>
          </cell>
          <cell r="K158">
            <v>46035</v>
          </cell>
        </row>
        <row r="159">
          <cell r="B159" t="str">
            <v>EXP_RancoTDDQ12026_157</v>
          </cell>
          <cell r="C159" t="str">
            <v>0135684_LM_Estanos</v>
          </cell>
          <cell r="D159" t="str">
            <v>M0821</v>
          </cell>
          <cell r="E159" t="str">
            <v>RANCO TDD ADELANTO Q1 2026</v>
          </cell>
          <cell r="F159" t="str">
            <v>Expansiones</v>
          </cell>
          <cell r="G159">
            <v>2026</v>
          </cell>
          <cell r="H159" t="str">
            <v>Q1</v>
          </cell>
          <cell r="I159" t="str">
            <v>Jason olivos</v>
          </cell>
          <cell r="J159" t="str">
            <v>Por Actualizar</v>
          </cell>
          <cell r="K159">
            <v>46035</v>
          </cell>
        </row>
        <row r="160">
          <cell r="B160" t="str">
            <v>EXP_RancoTDDQ12026_158</v>
          </cell>
          <cell r="C160" t="str">
            <v>0135834_LM_Loma_Amarilla</v>
          </cell>
          <cell r="D160" t="str">
            <v>M0821</v>
          </cell>
          <cell r="E160" t="str">
            <v>RANCO TDD ADELANTO Q1 2026</v>
          </cell>
          <cell r="F160" t="str">
            <v>Expansiones</v>
          </cell>
          <cell r="G160">
            <v>2026</v>
          </cell>
          <cell r="H160" t="str">
            <v>Q1</v>
          </cell>
          <cell r="I160" t="str">
            <v>Jason olivos</v>
          </cell>
          <cell r="J160" t="str">
            <v>Por Actualizar</v>
          </cell>
          <cell r="K160">
            <v>46035</v>
          </cell>
        </row>
        <row r="161">
          <cell r="B161" t="str">
            <v>EXP_RancoTDDQ12026_159</v>
          </cell>
          <cell r="C161" t="str">
            <v>0135859_LM_Batallon_Concepcion</v>
          </cell>
          <cell r="D161" t="str">
            <v>M0821</v>
          </cell>
          <cell r="E161" t="str">
            <v>RANCO TDD ADELANTO Q1 2026</v>
          </cell>
          <cell r="F161" t="str">
            <v>Expansiones</v>
          </cell>
          <cell r="G161">
            <v>2026</v>
          </cell>
          <cell r="H161" t="str">
            <v>Q1</v>
          </cell>
          <cell r="I161" t="str">
            <v>Jason olivos</v>
          </cell>
          <cell r="J161" t="str">
            <v>Por Actualizar</v>
          </cell>
          <cell r="K161">
            <v>46035</v>
          </cell>
        </row>
        <row r="162">
          <cell r="B162" t="str">
            <v>EXP_RancoTDDQ12026_160</v>
          </cell>
          <cell r="C162" t="str">
            <v>0135913_LM_Nestor_Batanero</v>
          </cell>
          <cell r="D162" t="str">
            <v>M0821</v>
          </cell>
          <cell r="E162" t="str">
            <v>RANCO TDD ADELANTO Q1 2026</v>
          </cell>
          <cell r="F162" t="str">
            <v>Expansiones</v>
          </cell>
          <cell r="G162">
            <v>2026</v>
          </cell>
          <cell r="H162" t="str">
            <v>Q1</v>
          </cell>
          <cell r="I162" t="str">
            <v>Jason olivos</v>
          </cell>
          <cell r="J162" t="str">
            <v>Por Actualizar</v>
          </cell>
          <cell r="K162">
            <v>46035</v>
          </cell>
        </row>
        <row r="163">
          <cell r="B163" t="str">
            <v>EXP_RancoTDDQ12026_161</v>
          </cell>
          <cell r="C163" t="str">
            <v>0135989_LM_Rodolfo_Rutte</v>
          </cell>
          <cell r="D163" t="str">
            <v>M0821</v>
          </cell>
          <cell r="E163" t="str">
            <v>RANCO TDD ADELANTO Q1 2026</v>
          </cell>
          <cell r="F163" t="str">
            <v>Expansiones</v>
          </cell>
          <cell r="G163">
            <v>2026</v>
          </cell>
          <cell r="H163" t="str">
            <v>Q1</v>
          </cell>
          <cell r="I163" t="str">
            <v>Jason olivos</v>
          </cell>
          <cell r="J163" t="str">
            <v>Por Actualizar</v>
          </cell>
          <cell r="K163">
            <v>46035</v>
          </cell>
        </row>
        <row r="164">
          <cell r="B164" t="str">
            <v>EXP_RancoTDDQ12026_162</v>
          </cell>
          <cell r="C164" t="str">
            <v>0136100_LM_San_Gabriel_La_Mari</v>
          </cell>
          <cell r="D164" t="str">
            <v>M0821</v>
          </cell>
          <cell r="E164" t="str">
            <v>RANCO TDD ADELANTO Q1 2026</v>
          </cell>
          <cell r="F164" t="str">
            <v>Expansiones</v>
          </cell>
          <cell r="G164">
            <v>2026</v>
          </cell>
          <cell r="H164" t="str">
            <v>Q1</v>
          </cell>
          <cell r="I164" t="str">
            <v>Jason olivos</v>
          </cell>
          <cell r="J164" t="str">
            <v>Por Actualizar</v>
          </cell>
          <cell r="K164">
            <v>46035</v>
          </cell>
        </row>
        <row r="165">
          <cell r="B165" t="str">
            <v>EXP_RancoTDDQ12026_163</v>
          </cell>
          <cell r="C165" t="str">
            <v>0136115_LM_Sodimac_San_Miguel</v>
          </cell>
          <cell r="D165" t="str">
            <v>M0821</v>
          </cell>
          <cell r="E165" t="str">
            <v>RANCO TDD ADELANTO Q1 2026</v>
          </cell>
          <cell r="F165" t="str">
            <v>Expansiones</v>
          </cell>
          <cell r="G165">
            <v>2026</v>
          </cell>
          <cell r="H165" t="str">
            <v>Q1</v>
          </cell>
          <cell r="I165" t="str">
            <v>Jason olivos</v>
          </cell>
          <cell r="J165" t="str">
            <v>Por Actualizar</v>
          </cell>
          <cell r="K165">
            <v>46035</v>
          </cell>
        </row>
        <row r="166">
          <cell r="B166" t="str">
            <v>EXP_RancoTDDQ12026_164</v>
          </cell>
          <cell r="C166" t="str">
            <v>0136163_LM_Villa_Bolivar</v>
          </cell>
          <cell r="D166" t="str">
            <v>M0821</v>
          </cell>
          <cell r="E166" t="str">
            <v>RANCO TDD ADELANTO Q1 2026</v>
          </cell>
          <cell r="F166" t="str">
            <v>Expansiones</v>
          </cell>
          <cell r="G166">
            <v>2026</v>
          </cell>
          <cell r="H166" t="str">
            <v>Q1</v>
          </cell>
          <cell r="I166" t="str">
            <v>Jason olivos</v>
          </cell>
          <cell r="J166" t="str">
            <v>Por Actualizar</v>
          </cell>
          <cell r="K166">
            <v>46035</v>
          </cell>
        </row>
        <row r="167">
          <cell r="B167" t="str">
            <v>EXP_RancoTDDQ12026_165</v>
          </cell>
          <cell r="C167" t="str">
            <v>0136182_LM_Continental_Villa</v>
          </cell>
          <cell r="D167" t="str">
            <v>M0821</v>
          </cell>
          <cell r="E167" t="str">
            <v>RANCO TDD ADELANTO Q1 2026</v>
          </cell>
          <cell r="F167" t="str">
            <v>Expansiones</v>
          </cell>
          <cell r="G167">
            <v>2026</v>
          </cell>
          <cell r="H167" t="str">
            <v>Q1</v>
          </cell>
          <cell r="I167" t="str">
            <v>Jason olivos</v>
          </cell>
          <cell r="J167" t="str">
            <v>Por Actualizar</v>
          </cell>
          <cell r="K167">
            <v>46035</v>
          </cell>
        </row>
        <row r="168">
          <cell r="B168" t="str">
            <v>EXP_RancoTDDQ12026_166</v>
          </cell>
          <cell r="C168" t="str">
            <v>0136199_LM_Mercedes_Cabello</v>
          </cell>
          <cell r="D168" t="str">
            <v>M0821</v>
          </cell>
          <cell r="E168" t="str">
            <v>RANCO TDD ADELANTO Q1 2026</v>
          </cell>
          <cell r="F168" t="str">
            <v>Expansiones</v>
          </cell>
          <cell r="G168">
            <v>2026</v>
          </cell>
          <cell r="H168" t="str">
            <v>Q1</v>
          </cell>
          <cell r="I168" t="str">
            <v>Jason olivos</v>
          </cell>
          <cell r="J168" t="str">
            <v>Por Actualizar</v>
          </cell>
          <cell r="K168">
            <v>46035</v>
          </cell>
        </row>
        <row r="169">
          <cell r="B169" t="str">
            <v>EXP_RancoTDDQ12026_167</v>
          </cell>
          <cell r="C169" t="str">
            <v>0136218_LM_Hospital_Barranca</v>
          </cell>
          <cell r="D169" t="str">
            <v>M0821</v>
          </cell>
          <cell r="E169" t="str">
            <v>RANCO TDD ADELANTO Q1 2026</v>
          </cell>
          <cell r="F169" t="str">
            <v>Expansiones</v>
          </cell>
          <cell r="G169">
            <v>2026</v>
          </cell>
          <cell r="H169" t="str">
            <v>Q1</v>
          </cell>
          <cell r="I169" t="str">
            <v>Jason olivos</v>
          </cell>
          <cell r="J169" t="str">
            <v>Por Actualizar</v>
          </cell>
          <cell r="K169">
            <v>46035</v>
          </cell>
        </row>
        <row r="170">
          <cell r="B170" t="str">
            <v>EXP_SectoresReactivos_1</v>
          </cell>
          <cell r="C170" t="str">
            <v>0135802_LM_Recoleta_Pcs</v>
          </cell>
          <cell r="D170" t="str">
            <v>Sin Cod</v>
          </cell>
          <cell r="E170" t="str">
            <v>SECTORES REACTIVOS 2026</v>
          </cell>
          <cell r="F170" t="str">
            <v>Expansiones</v>
          </cell>
          <cell r="G170">
            <v>2026</v>
          </cell>
          <cell r="I170" t="str">
            <v>Jason olivos</v>
          </cell>
          <cell r="J170" t="str">
            <v>Por Actualizar</v>
          </cell>
          <cell r="K170">
            <v>46035</v>
          </cell>
        </row>
        <row r="171">
          <cell r="B171" t="str">
            <v>TX_CRA2026_1</v>
          </cell>
          <cell r="C171" t="str">
            <v>0100040_LM_Wilson to 010252536_LM_Larrabure</v>
          </cell>
          <cell r="D171" t="str">
            <v>M0825</v>
          </cell>
          <cell r="E171" t="str">
            <v>CRA MOVIL ADELANTO Q1 2026</v>
          </cell>
          <cell r="F171" t="str">
            <v>Vulnerabilidad</v>
          </cell>
          <cell r="G171">
            <v>2026</v>
          </cell>
          <cell r="I171" t="str">
            <v>Nathaly Allcca</v>
          </cell>
          <cell r="J171" t="str">
            <v>En Proceso</v>
          </cell>
          <cell r="K171">
            <v>46035</v>
          </cell>
        </row>
        <row r="172">
          <cell r="B172" t="str">
            <v>TX_CRA2026_2</v>
          </cell>
          <cell r="C172" t="str">
            <v>0100002_LM_Nuevo_Comas to 0105447_LM_Jose_Bolta</v>
          </cell>
          <cell r="D172" t="str">
            <v>M0850</v>
          </cell>
          <cell r="E172" t="str">
            <v>CRA MOVIL 2026</v>
          </cell>
          <cell r="F172" t="str">
            <v>Vulnerabilidad</v>
          </cell>
          <cell r="G172">
            <v>2026</v>
          </cell>
          <cell r="I172" t="str">
            <v>Nathaly Allcca</v>
          </cell>
          <cell r="J172" t="str">
            <v>Activado</v>
          </cell>
          <cell r="K172">
            <v>46035</v>
          </cell>
        </row>
        <row r="173">
          <cell r="B173" t="str">
            <v>TX_CRA2026_3</v>
          </cell>
          <cell r="C173" t="str">
            <v>0100039_LM_Abancay to 0100175_LM_Capon</v>
          </cell>
          <cell r="D173" t="str">
            <v>M0825</v>
          </cell>
          <cell r="E173" t="str">
            <v>CRA MOVIL ADELANTO Q1 2026</v>
          </cell>
          <cell r="F173" t="str">
            <v>Vulnerabilidad</v>
          </cell>
          <cell r="G173">
            <v>2026</v>
          </cell>
          <cell r="I173" t="str">
            <v>Nathaly Allcca</v>
          </cell>
          <cell r="J173" t="str">
            <v>En Proceso</v>
          </cell>
          <cell r="K173">
            <v>46035</v>
          </cell>
        </row>
        <row r="174">
          <cell r="B174" t="str">
            <v>TX_CRA2026_4</v>
          </cell>
          <cell r="C174" t="str">
            <v>0100047_LM_La_Normal to 0106848_LM_HB_Primavera_AMT</v>
          </cell>
          <cell r="D174" t="str">
            <v>M0850</v>
          </cell>
          <cell r="E174" t="str">
            <v>CRA MOVIL 2026</v>
          </cell>
          <cell r="F174" t="str">
            <v>Vulnerabilidad</v>
          </cell>
          <cell r="G174">
            <v>2026</v>
          </cell>
          <cell r="I174" t="str">
            <v>Nathaly Allcca</v>
          </cell>
          <cell r="J174" t="str">
            <v>En Proceso</v>
          </cell>
          <cell r="K174">
            <v>46035</v>
          </cell>
        </row>
        <row r="175">
          <cell r="B175" t="str">
            <v>TX_CRA2026_5</v>
          </cell>
          <cell r="C175" t="str">
            <v>0105774_LM_Lima_Centro to 0100199_LM_Nazarenas</v>
          </cell>
          <cell r="D175" t="str">
            <v>M0825</v>
          </cell>
          <cell r="E175" t="str">
            <v>CRA MOVIL ADELANTO Q1 2026</v>
          </cell>
          <cell r="F175" t="str">
            <v>Vulnerabilidad</v>
          </cell>
          <cell r="G175">
            <v>2026</v>
          </cell>
          <cell r="I175" t="str">
            <v>Nathaly Allcca</v>
          </cell>
          <cell r="J175" t="str">
            <v>No RFI</v>
          </cell>
          <cell r="K175">
            <v>46035</v>
          </cell>
        </row>
        <row r="176">
          <cell r="B176" t="str">
            <v>TX_CRA2026_6</v>
          </cell>
          <cell r="C176" t="str">
            <v>0100051_LM_Priale to 0105171_LM_Los_Tucanes</v>
          </cell>
          <cell r="D176" t="str">
            <v>M0850</v>
          </cell>
          <cell r="E176" t="str">
            <v>CRA MOVIL 2026</v>
          </cell>
          <cell r="F176" t="str">
            <v>Vulnerabilidad</v>
          </cell>
          <cell r="G176">
            <v>2026</v>
          </cell>
          <cell r="I176" t="str">
            <v>Nathaly Allcca</v>
          </cell>
          <cell r="J176" t="str">
            <v>Con RQ</v>
          </cell>
          <cell r="K176">
            <v>46035</v>
          </cell>
        </row>
        <row r="177">
          <cell r="B177" t="str">
            <v>TX_CRA2026_7</v>
          </cell>
          <cell r="C177" t="str">
            <v>0105774_LM_Lima_Centro to 0105702_LM_Caylloma</v>
          </cell>
          <cell r="D177" t="str">
            <v>M0825</v>
          </cell>
          <cell r="E177" t="str">
            <v>CRA MOVIL ADELANTO Q1 2026</v>
          </cell>
          <cell r="F177" t="str">
            <v>Vulnerabilidad</v>
          </cell>
          <cell r="G177">
            <v>2026</v>
          </cell>
          <cell r="I177" t="str">
            <v>Nathaly Allcca</v>
          </cell>
          <cell r="J177" t="str">
            <v>No RFI</v>
          </cell>
          <cell r="K177">
            <v>46035</v>
          </cell>
        </row>
        <row r="178">
          <cell r="B178" t="str">
            <v>TX_CRA2026_8</v>
          </cell>
          <cell r="C178" t="str">
            <v>0100065_LM_Camacho to 010252277_LM_Olimpo_R1</v>
          </cell>
          <cell r="D178" t="str">
            <v>M0850</v>
          </cell>
          <cell r="E178" t="str">
            <v>CRA MOVIL 2026</v>
          </cell>
          <cell r="F178" t="str">
            <v>Vulnerabilidad</v>
          </cell>
          <cell r="G178">
            <v>2026</v>
          </cell>
          <cell r="I178" t="str">
            <v>Nathaly Allcca</v>
          </cell>
          <cell r="J178" t="str">
            <v>Activado</v>
          </cell>
          <cell r="K178">
            <v>46035</v>
          </cell>
        </row>
        <row r="179">
          <cell r="B179" t="str">
            <v>TX_CRA2026_9</v>
          </cell>
          <cell r="C179" t="str">
            <v>0100063_LM_Risso to 0106067_LM_Arenales_R1</v>
          </cell>
          <cell r="D179" t="str">
            <v>M0825</v>
          </cell>
          <cell r="E179" t="str">
            <v>CRA MOVIL ADELANTO Q1 2026</v>
          </cell>
          <cell r="F179" t="str">
            <v>Vulnerabilidad</v>
          </cell>
          <cell r="G179">
            <v>2026</v>
          </cell>
          <cell r="I179" t="str">
            <v>Nathaly Allcca</v>
          </cell>
          <cell r="J179" t="str">
            <v>No RFI</v>
          </cell>
          <cell r="K179">
            <v>46035</v>
          </cell>
        </row>
        <row r="180">
          <cell r="B180" t="str">
            <v>TX_CRA2026_10</v>
          </cell>
          <cell r="C180" t="str">
            <v>0100127_LM_Manco_Capac to 010254704_LM_La_Victoria_AMT</v>
          </cell>
          <cell r="D180" t="str">
            <v>M0850</v>
          </cell>
          <cell r="E180" t="str">
            <v>CRA MOVIL 2026</v>
          </cell>
          <cell r="F180" t="str">
            <v>Vulnerabilidad</v>
          </cell>
          <cell r="G180">
            <v>2026</v>
          </cell>
          <cell r="I180" t="str">
            <v>Nathaly Allcca</v>
          </cell>
          <cell r="J180" t="str">
            <v>Activado</v>
          </cell>
          <cell r="K180">
            <v>46035</v>
          </cell>
        </row>
        <row r="181">
          <cell r="B181" t="str">
            <v>TX_CRA2026_11</v>
          </cell>
          <cell r="C181" t="str">
            <v>0105118_LM_Peruano_Japones to 0106007_LM_Parque_Salta</v>
          </cell>
          <cell r="D181" t="str">
            <v>M0825</v>
          </cell>
          <cell r="E181" t="str">
            <v>CRA MOVIL ADELANTO Q1 2026</v>
          </cell>
          <cell r="F181" t="str">
            <v>Vulnerabilidad</v>
          </cell>
          <cell r="G181">
            <v>2026</v>
          </cell>
          <cell r="I181" t="str">
            <v>Nathaly Allcca</v>
          </cell>
          <cell r="J181" t="str">
            <v>En Proceso</v>
          </cell>
          <cell r="K181">
            <v>46035</v>
          </cell>
        </row>
        <row r="182">
          <cell r="B182" t="str">
            <v>TX_CRA2026_12</v>
          </cell>
          <cell r="C182" t="str">
            <v>0100149_LM_Trapiche to 0105672_LM_Parque_Confraternid</v>
          </cell>
          <cell r="D182" t="str">
            <v>M0850</v>
          </cell>
          <cell r="E182" t="str">
            <v>CRA MOVIL 2026</v>
          </cell>
          <cell r="F182" t="str">
            <v>Vulnerabilidad</v>
          </cell>
          <cell r="G182">
            <v>2026</v>
          </cell>
          <cell r="I182" t="str">
            <v>Nathaly Allcca</v>
          </cell>
          <cell r="J182" t="str">
            <v>Activado</v>
          </cell>
          <cell r="K182">
            <v>46035</v>
          </cell>
        </row>
        <row r="183">
          <cell r="B183" t="str">
            <v>TX_CRA2026_13</v>
          </cell>
          <cell r="C183" t="str">
            <v>0100215_LM_Parque_La_Pera to 0100514_LM_Paradise_Park</v>
          </cell>
          <cell r="D183" t="str">
            <v>M0825</v>
          </cell>
          <cell r="E183" t="str">
            <v>CRA MOVIL ADELANTO Q1 2026</v>
          </cell>
          <cell r="F183" t="str">
            <v>Vulnerabilidad</v>
          </cell>
          <cell r="G183">
            <v>2026</v>
          </cell>
          <cell r="I183" t="str">
            <v>Nathaly Allcca</v>
          </cell>
          <cell r="J183" t="str">
            <v>No RFI</v>
          </cell>
          <cell r="K183">
            <v>46035</v>
          </cell>
        </row>
        <row r="184">
          <cell r="B184" t="str">
            <v>TX_CRA2026_14</v>
          </cell>
          <cell r="C184" t="str">
            <v>0100201_LM_Mega_Plaza to 0100003_LM_Senati</v>
          </cell>
          <cell r="D184" t="str">
            <v>M0850</v>
          </cell>
          <cell r="E184" t="str">
            <v>CRA MOVIL 2026</v>
          </cell>
          <cell r="F184" t="str">
            <v>Vulnerabilidad</v>
          </cell>
          <cell r="G184">
            <v>2026</v>
          </cell>
          <cell r="I184" t="str">
            <v>Nathaly Allcca</v>
          </cell>
          <cell r="J184" t="str">
            <v>En Proceso</v>
          </cell>
          <cell r="K184">
            <v>46035</v>
          </cell>
        </row>
        <row r="185">
          <cell r="B185" t="str">
            <v>TX_CRA2026_15</v>
          </cell>
          <cell r="C185" t="str">
            <v>0100751_AN_Santa_Chimbote to 0100774_AN_Ferrocarril_Chimbote</v>
          </cell>
          <cell r="D185" t="str">
            <v>M0825</v>
          </cell>
          <cell r="E185" t="str">
            <v>CRA MOVIL ADELANTO Q1 2026</v>
          </cell>
          <cell r="F185" t="str">
            <v>Vulnerabilidad</v>
          </cell>
          <cell r="G185">
            <v>2026</v>
          </cell>
          <cell r="I185" t="str">
            <v>Nathaly Allcca</v>
          </cell>
          <cell r="J185" t="str">
            <v>En Proceso</v>
          </cell>
          <cell r="K185">
            <v>46035</v>
          </cell>
        </row>
        <row r="186">
          <cell r="B186" t="str">
            <v>TX_CRA2026_16</v>
          </cell>
          <cell r="C186" t="str">
            <v>0100210_LM_San_Gabriel to 0100042_LM_Cavenecia</v>
          </cell>
          <cell r="D186" t="str">
            <v>M0850</v>
          </cell>
          <cell r="E186" t="str">
            <v>CRA MOVIL 2026</v>
          </cell>
          <cell r="F186" t="str">
            <v>Vulnerabilidad</v>
          </cell>
          <cell r="G186">
            <v>2026</v>
          </cell>
          <cell r="I186" t="str">
            <v>Nathaly Allcca</v>
          </cell>
          <cell r="J186" t="str">
            <v>En Proceso</v>
          </cell>
          <cell r="K186">
            <v>46035</v>
          </cell>
        </row>
        <row r="187">
          <cell r="B187" t="str">
            <v>TX_CRA2026_17</v>
          </cell>
          <cell r="C187" t="str">
            <v>0100499_LM_Huarochiri to 0100319_LM_Huancaray_R1</v>
          </cell>
          <cell r="D187" t="str">
            <v>M0825</v>
          </cell>
          <cell r="E187" t="str">
            <v>CRA MOVIL ADELANTO Q1 2026</v>
          </cell>
          <cell r="F187" t="str">
            <v>Vulnerabilidad</v>
          </cell>
          <cell r="G187">
            <v>2026</v>
          </cell>
          <cell r="I187" t="str">
            <v>Nathaly Allcca</v>
          </cell>
          <cell r="J187" t="str">
            <v>En Proceso</v>
          </cell>
          <cell r="K187">
            <v>46035</v>
          </cell>
        </row>
        <row r="188">
          <cell r="B188" t="str">
            <v>TX_CRA2026_18</v>
          </cell>
          <cell r="C188" t="str">
            <v>0100236_LM_Lemos to 0100137_LM_San_Jose</v>
          </cell>
          <cell r="D188" t="str">
            <v>M0850</v>
          </cell>
          <cell r="E188" t="str">
            <v>CRA MOVIL 2026</v>
          </cell>
          <cell r="F188" t="str">
            <v>Vulnerabilidad</v>
          </cell>
          <cell r="G188">
            <v>2026</v>
          </cell>
          <cell r="I188" t="str">
            <v>Nathaly Allcca</v>
          </cell>
          <cell r="J188" t="str">
            <v>En Proceso</v>
          </cell>
          <cell r="K188">
            <v>46035</v>
          </cell>
        </row>
        <row r="189">
          <cell r="B189" t="str">
            <v>TX_CRA2026_19</v>
          </cell>
          <cell r="C189" t="str">
            <v>0100305_LM_Clinica_Montefiori to 0100301_LM_Carrizales</v>
          </cell>
          <cell r="D189" t="str">
            <v>M0825</v>
          </cell>
          <cell r="E189" t="str">
            <v>CRA MOVIL ADELANTO Q1 2026</v>
          </cell>
          <cell r="F189" t="str">
            <v>Vulnerabilidad</v>
          </cell>
          <cell r="G189">
            <v>2026</v>
          </cell>
          <cell r="I189" t="str">
            <v>Nathaly Allcca</v>
          </cell>
          <cell r="J189" t="str">
            <v>En Proceso</v>
          </cell>
          <cell r="K189">
            <v>46035</v>
          </cell>
        </row>
        <row r="190">
          <cell r="B190" t="str">
            <v>TX_CRA2026_20</v>
          </cell>
          <cell r="C190" t="str">
            <v>0100326_LM_Plaza_Vea_Las_Flores to 0105529_LM_Luzuriaga</v>
          </cell>
          <cell r="D190" t="str">
            <v>M0850</v>
          </cell>
          <cell r="E190" t="str">
            <v>CRA MOVIL 2026</v>
          </cell>
          <cell r="F190" t="str">
            <v>Vulnerabilidad</v>
          </cell>
          <cell r="G190">
            <v>2026</v>
          </cell>
          <cell r="I190" t="str">
            <v>Nathaly Allcca</v>
          </cell>
          <cell r="J190" t="str">
            <v>Activado</v>
          </cell>
          <cell r="K190">
            <v>46035</v>
          </cell>
        </row>
        <row r="191">
          <cell r="B191" t="str">
            <v>TX_CRA2026_21</v>
          </cell>
          <cell r="C191" t="str">
            <v>0101903_LO_Municipalidad_Belen to 010266353_LO_Pampa_Chica_R1</v>
          </cell>
          <cell r="D191" t="str">
            <v>M0825</v>
          </cell>
          <cell r="E191" t="str">
            <v>CRA MOVIL ADELANTO Q1 2026</v>
          </cell>
          <cell r="F191" t="str">
            <v>Vulnerabilidad</v>
          </cell>
          <cell r="G191">
            <v>2026</v>
          </cell>
          <cell r="I191" t="str">
            <v>Nathaly Allcca</v>
          </cell>
          <cell r="J191" t="str">
            <v>En Proceso</v>
          </cell>
          <cell r="K191">
            <v>46035</v>
          </cell>
        </row>
        <row r="192">
          <cell r="B192" t="str">
            <v>TX_CRA2026_22</v>
          </cell>
          <cell r="C192" t="str">
            <v>0100387_LM_Lurin to 0100344_LM_Rumbo_Pachacamac</v>
          </cell>
          <cell r="D192" t="str">
            <v>M0850</v>
          </cell>
          <cell r="E192" t="str">
            <v>CRA MOVIL 2026</v>
          </cell>
          <cell r="F192" t="str">
            <v>Vulnerabilidad</v>
          </cell>
          <cell r="G192">
            <v>2026</v>
          </cell>
          <cell r="I192" t="str">
            <v>Nathaly Allcca</v>
          </cell>
          <cell r="J192" t="str">
            <v>Activado</v>
          </cell>
          <cell r="K192">
            <v>46035</v>
          </cell>
        </row>
        <row r="193">
          <cell r="B193" t="str">
            <v>TX_CRA2026_23</v>
          </cell>
          <cell r="C193" t="str">
            <v>0100059_LM_Magdalena to 0106053_LM_Torres_Matos</v>
          </cell>
          <cell r="D193" t="str">
            <v>M0825</v>
          </cell>
          <cell r="E193" t="str">
            <v>CRA MOVIL ADELANTO Q1 2026</v>
          </cell>
          <cell r="F193" t="str">
            <v>Vulnerabilidad</v>
          </cell>
          <cell r="G193">
            <v>2026</v>
          </cell>
          <cell r="I193" t="str">
            <v>Nathaly Allcca</v>
          </cell>
          <cell r="J193" t="str">
            <v>En Proceso</v>
          </cell>
          <cell r="K193">
            <v>46035</v>
          </cell>
        </row>
        <row r="194">
          <cell r="B194" t="str">
            <v>TX_CRA2026_24</v>
          </cell>
          <cell r="C194" t="str">
            <v>0100520_LM_11_de_Octubre to 0105551_LM_Las_Galeras</v>
          </cell>
          <cell r="D194" t="str">
            <v>M0850</v>
          </cell>
          <cell r="E194" t="str">
            <v>CRA MOVIL 2026</v>
          </cell>
          <cell r="F194" t="str">
            <v>Vulnerabilidad</v>
          </cell>
          <cell r="G194">
            <v>2026</v>
          </cell>
          <cell r="I194" t="str">
            <v>Nathaly Allcca</v>
          </cell>
          <cell r="J194" t="str">
            <v>Activado</v>
          </cell>
          <cell r="K194">
            <v>46035</v>
          </cell>
        </row>
        <row r="195">
          <cell r="B195" t="str">
            <v>TX_CRA2026_25</v>
          </cell>
          <cell r="C195" t="str">
            <v>0100238_LM_Mello_Franco to 0106316_LM_Conococha</v>
          </cell>
          <cell r="D195" t="str">
            <v>M0825</v>
          </cell>
          <cell r="E195" t="str">
            <v>CRA MOVIL ADELANTO Q1 2026</v>
          </cell>
          <cell r="F195" t="str">
            <v>Vulnerabilidad</v>
          </cell>
          <cell r="G195">
            <v>2026</v>
          </cell>
          <cell r="I195" t="str">
            <v>Nathaly Allcca</v>
          </cell>
          <cell r="J195" t="str">
            <v>En Proceso</v>
          </cell>
          <cell r="K195">
            <v>46035</v>
          </cell>
        </row>
        <row r="196">
          <cell r="B196" t="str">
            <v>TX_CRA2026_26</v>
          </cell>
          <cell r="C196" t="str">
            <v>0100607_LI_Husares_de_Junin to 0100617_LI_Trujillo_Centro</v>
          </cell>
          <cell r="D196" t="str">
            <v>M0850</v>
          </cell>
          <cell r="E196" t="str">
            <v>CRA MOVIL 2026</v>
          </cell>
          <cell r="F196" t="str">
            <v>Vulnerabilidad</v>
          </cell>
          <cell r="G196">
            <v>2026</v>
          </cell>
          <cell r="I196" t="str">
            <v>Nathaly Allcca</v>
          </cell>
          <cell r="J196" t="str">
            <v>Activado</v>
          </cell>
          <cell r="K196">
            <v>46035</v>
          </cell>
        </row>
        <row r="197">
          <cell r="B197" t="str">
            <v>TX_CRA2026_27</v>
          </cell>
          <cell r="C197" t="str">
            <v>0100712_AN_Coishco to 0102019_AN_Santa</v>
          </cell>
          <cell r="D197" t="str">
            <v>M0825</v>
          </cell>
          <cell r="E197" t="str">
            <v>CRA MOVIL ADELANTO Q1 2026</v>
          </cell>
          <cell r="F197" t="str">
            <v>Vulnerabilidad</v>
          </cell>
          <cell r="G197">
            <v>2026</v>
          </cell>
          <cell r="I197" t="str">
            <v>Nathaly Allcca</v>
          </cell>
          <cell r="J197" t="str">
            <v>No RFI</v>
          </cell>
          <cell r="K197">
            <v>46035</v>
          </cell>
        </row>
        <row r="198">
          <cell r="B198" t="str">
            <v>TX_CRA2026_28</v>
          </cell>
          <cell r="C198" t="str">
            <v>0100612_LI_La_Esperanza to 0104142_LI_El_Cortijo</v>
          </cell>
          <cell r="D198" t="str">
            <v>M0850</v>
          </cell>
          <cell r="E198" t="str">
            <v>CRA MOVIL 2026</v>
          </cell>
          <cell r="F198" t="str">
            <v>Vulnerabilidad</v>
          </cell>
          <cell r="G198">
            <v>2026</v>
          </cell>
          <cell r="I198" t="str">
            <v>Nathaly Allcca</v>
          </cell>
          <cell r="J198" t="str">
            <v>Activado</v>
          </cell>
          <cell r="K198">
            <v>46035</v>
          </cell>
        </row>
        <row r="199">
          <cell r="B199" t="str">
            <v>TX_CRA2026_29</v>
          </cell>
          <cell r="C199" t="str">
            <v>0104622_LM_Nuevo_Grupo_8 to 0100295_LM_Centenario</v>
          </cell>
          <cell r="D199" t="str">
            <v>M0825</v>
          </cell>
          <cell r="E199" t="str">
            <v>CRA MOVIL ADELANTO Q1 2026</v>
          </cell>
          <cell r="F199" t="str">
            <v>Vulnerabilidad</v>
          </cell>
          <cell r="G199">
            <v>2026</v>
          </cell>
          <cell r="I199" t="str">
            <v>Nathaly Allcca</v>
          </cell>
          <cell r="J199" t="str">
            <v>No RFI</v>
          </cell>
          <cell r="K199">
            <v>46035</v>
          </cell>
        </row>
        <row r="200">
          <cell r="B200" t="str">
            <v>TX_CRA2026_30</v>
          </cell>
          <cell r="C200" t="str">
            <v>0105403_LM_Cementerio_Puente to 0105289_LM_Suyay</v>
          </cell>
          <cell r="D200" t="str">
            <v>M0850</v>
          </cell>
          <cell r="E200" t="str">
            <v>CRA MOVIL 2026</v>
          </cell>
          <cell r="F200" t="str">
            <v>Vulnerabilidad</v>
          </cell>
          <cell r="G200">
            <v>2026</v>
          </cell>
          <cell r="I200" t="str">
            <v>Nathaly Allcca</v>
          </cell>
          <cell r="J200" t="str">
            <v>Con RQ</v>
          </cell>
          <cell r="K200">
            <v>46035</v>
          </cell>
        </row>
        <row r="201">
          <cell r="B201" t="str">
            <v>TX_CRA2026_31</v>
          </cell>
          <cell r="C201" t="str">
            <v>0100005_LM_SMPorres to 010251302_LM_Tres_Torres</v>
          </cell>
          <cell r="D201" t="str">
            <v>M0825</v>
          </cell>
          <cell r="E201" t="str">
            <v>CRA MOVIL ADELANTO Q1 2026</v>
          </cell>
          <cell r="F201" t="str">
            <v>Vulnerabilidad</v>
          </cell>
          <cell r="G201">
            <v>2026</v>
          </cell>
          <cell r="I201" t="str">
            <v>Nathaly Allcca</v>
          </cell>
          <cell r="J201" t="str">
            <v>Activado</v>
          </cell>
          <cell r="K201">
            <v>46035</v>
          </cell>
        </row>
        <row r="202">
          <cell r="B202" t="str">
            <v>TX_CRA2026_32</v>
          </cell>
          <cell r="C202" t="str">
            <v>0106248_LM_Unique_Lurin_0100387_LM_Lurin</v>
          </cell>
          <cell r="D202" t="str">
            <v>M0850</v>
          </cell>
          <cell r="E202" t="str">
            <v>CRA MOVIL 2026</v>
          </cell>
          <cell r="F202" t="str">
            <v>Vulnerabilidad</v>
          </cell>
          <cell r="G202">
            <v>2026</v>
          </cell>
          <cell r="I202" t="str">
            <v>Nathaly Allcca</v>
          </cell>
          <cell r="J202" t="str">
            <v>Activado</v>
          </cell>
          <cell r="K202">
            <v>46035</v>
          </cell>
        </row>
        <row r="203">
          <cell r="B203" t="str">
            <v>TX_CRA2026_33</v>
          </cell>
          <cell r="C203" t="str">
            <v>0103082_JU_El_Tambo_R1 to 0101608_JU_Hualhuas</v>
          </cell>
          <cell r="D203" t="str">
            <v>M0825</v>
          </cell>
          <cell r="E203" t="str">
            <v>CRA MOVIL ADELANTO Q1 2026</v>
          </cell>
          <cell r="F203" t="str">
            <v>Vulnerabilidad</v>
          </cell>
          <cell r="G203">
            <v>2026</v>
          </cell>
          <cell r="I203" t="str">
            <v>Nathaly Allcca</v>
          </cell>
          <cell r="J203" t="str">
            <v>En Proceso</v>
          </cell>
          <cell r="K203">
            <v>46035</v>
          </cell>
        </row>
        <row r="204">
          <cell r="B204" t="str">
            <v>TX_CRA2026_34</v>
          </cell>
          <cell r="C204" t="str">
            <v>0105592_LM_Ucayali_America_0100014_LM_Abtao</v>
          </cell>
          <cell r="D204" t="str">
            <v>M0850</v>
          </cell>
          <cell r="E204" t="str">
            <v>CRA MOVIL 2026</v>
          </cell>
          <cell r="F204" t="str">
            <v>Vulnerabilidad</v>
          </cell>
          <cell r="G204">
            <v>2026</v>
          </cell>
          <cell r="I204" t="str">
            <v>Nathaly Allcca</v>
          </cell>
          <cell r="J204" t="str">
            <v>Activado</v>
          </cell>
          <cell r="K204">
            <v>46035</v>
          </cell>
        </row>
        <row r="205">
          <cell r="B205" t="str">
            <v>TX_CRA2026_35</v>
          </cell>
          <cell r="C205" t="str">
            <v>0100606_LI_El_Alambre to 0104170_LI_Ruben_Dario</v>
          </cell>
          <cell r="D205" t="str">
            <v>M0825</v>
          </cell>
          <cell r="E205" t="str">
            <v>CRA MOVIL ADELANTO Q1 2026</v>
          </cell>
          <cell r="F205" t="str">
            <v>Vulnerabilidad</v>
          </cell>
          <cell r="G205">
            <v>2026</v>
          </cell>
          <cell r="I205" t="str">
            <v>Nathaly Allcca</v>
          </cell>
          <cell r="J205" t="str">
            <v>En Proceso</v>
          </cell>
          <cell r="K205">
            <v>46035</v>
          </cell>
        </row>
        <row r="206">
          <cell r="B206" t="str">
            <v>TX_CRA2026_36</v>
          </cell>
          <cell r="C206" t="str">
            <v>0102380_SM_Termales_Moyobamba_0102376_SM_Moyobamba_Agregador</v>
          </cell>
          <cell r="D206" t="str">
            <v>M0850</v>
          </cell>
          <cell r="E206" t="str">
            <v>CRA MOVIL 2026</v>
          </cell>
          <cell r="F206" t="str">
            <v>Vulnerabilidad</v>
          </cell>
          <cell r="G206">
            <v>2026</v>
          </cell>
          <cell r="I206" t="str">
            <v>Nathaly Allcca</v>
          </cell>
          <cell r="J206" t="str">
            <v>En Proceso</v>
          </cell>
          <cell r="K206">
            <v>46035</v>
          </cell>
        </row>
        <row r="207">
          <cell r="B207" t="str">
            <v>TX_CRA2026_37</v>
          </cell>
          <cell r="C207" t="str">
            <v>0100635_LI_Moche_Pueblo to 0100604_LI_Puerto_de_Salaverry</v>
          </cell>
          <cell r="D207" t="str">
            <v>M0825</v>
          </cell>
          <cell r="E207" t="str">
            <v>CRA MOVIL ADELANTO Q1 2026</v>
          </cell>
          <cell r="F207" t="str">
            <v>Vulnerabilidad</v>
          </cell>
          <cell r="G207">
            <v>2026</v>
          </cell>
          <cell r="I207" t="str">
            <v>Nathaly Allcca</v>
          </cell>
          <cell r="J207" t="str">
            <v>En Proceso</v>
          </cell>
          <cell r="K207">
            <v>46035</v>
          </cell>
        </row>
        <row r="208">
          <cell r="B208" t="str">
            <v>TX_CRA2026_38</v>
          </cell>
          <cell r="C208" t="str">
            <v>0100607_LI_Husares_de_Junin to 0104284_LI_Trupal</v>
          </cell>
          <cell r="D208" t="str">
            <v>M0825</v>
          </cell>
          <cell r="E208" t="str">
            <v>CRA MOVIL ADELANTO Q1 2026</v>
          </cell>
          <cell r="F208" t="str">
            <v>Vulnerabilidad</v>
          </cell>
          <cell r="G208">
            <v>2026</v>
          </cell>
          <cell r="I208" t="str">
            <v>Nathaly Allcca</v>
          </cell>
          <cell r="J208" t="str">
            <v>En Proceso</v>
          </cell>
          <cell r="K208">
            <v>46035</v>
          </cell>
        </row>
        <row r="209">
          <cell r="B209" t="str">
            <v>TX_CRA2026_39</v>
          </cell>
          <cell r="C209" t="str">
            <v>0101007_LA_Paseo_de_los_Hero to 0102409_LA_Cementerio_El_Angel</v>
          </cell>
          <cell r="D209" t="str">
            <v>M0825</v>
          </cell>
          <cell r="E209" t="str">
            <v>CRA MOVIL ADELANTO Q1 2026</v>
          </cell>
          <cell r="F209" t="str">
            <v>Vulnerabilidad</v>
          </cell>
          <cell r="G209">
            <v>2026</v>
          </cell>
          <cell r="I209" t="str">
            <v>Nathaly Allcca</v>
          </cell>
          <cell r="J209" t="str">
            <v>Con RQ</v>
          </cell>
          <cell r="K209">
            <v>46035</v>
          </cell>
        </row>
        <row r="210">
          <cell r="B210" t="str">
            <v>TX_CRA2026_40</v>
          </cell>
          <cell r="C210" t="str">
            <v>0101006_LA_Parque_Industrial to 0102474_LA_Via_Evitamiento</v>
          </cell>
          <cell r="D210" t="str">
            <v>M0825</v>
          </cell>
          <cell r="E210" t="str">
            <v>CRA MOVIL ADELANTO Q1 2026</v>
          </cell>
          <cell r="F210" t="str">
            <v>Vulnerabilidad</v>
          </cell>
          <cell r="G210">
            <v>2026</v>
          </cell>
          <cell r="I210" t="str">
            <v>Nathaly Allcca</v>
          </cell>
          <cell r="J210" t="str">
            <v>En Proceso</v>
          </cell>
          <cell r="K210">
            <v>46035</v>
          </cell>
        </row>
        <row r="211">
          <cell r="B211" t="str">
            <v>TX_CRA2026_41</v>
          </cell>
          <cell r="C211" t="str">
            <v>0140515_LM_Carabayllo_Norte to 0102992_LM_Piramide_de_Huacoy</v>
          </cell>
          <cell r="D211" t="str">
            <v>M0825</v>
          </cell>
          <cell r="E211" t="str">
            <v>CRA MOVIL ADELANTO Q1 2026</v>
          </cell>
          <cell r="F211" t="str">
            <v>Vulnerabilidad</v>
          </cell>
          <cell r="G211">
            <v>2026</v>
          </cell>
          <cell r="I211" t="str">
            <v>Nathaly Allcca</v>
          </cell>
          <cell r="J211" t="str">
            <v>En Proceso</v>
          </cell>
          <cell r="K211">
            <v>46035</v>
          </cell>
        </row>
        <row r="212">
          <cell r="B212" t="str">
            <v>TX_CRA2026_42</v>
          </cell>
          <cell r="C212" t="str">
            <v>0100459_LM_Rosa_de_America to 0105799_LM_Reina_Los_Cielos</v>
          </cell>
          <cell r="D212" t="str">
            <v>M0825</v>
          </cell>
          <cell r="E212" t="str">
            <v>CRA MOVIL ADELANTO Q1 2026</v>
          </cell>
          <cell r="F212" t="str">
            <v>Vulnerabilidad</v>
          </cell>
          <cell r="G212">
            <v>2026</v>
          </cell>
          <cell r="I212" t="str">
            <v>Nathaly Allcca</v>
          </cell>
          <cell r="J212" t="str">
            <v>En Proceso</v>
          </cell>
          <cell r="K212">
            <v>46035</v>
          </cell>
        </row>
        <row r="213">
          <cell r="B213" t="str">
            <v>TX_CRA2026_43</v>
          </cell>
          <cell r="C213" t="str">
            <v>0101001_LA_Mocupe to 0104235_LI_Pacanguilla</v>
          </cell>
          <cell r="D213" t="str">
            <v>M0825</v>
          </cell>
          <cell r="E213" t="str">
            <v>CRA MOVIL ADELANTO Q1 2026</v>
          </cell>
          <cell r="F213" t="str">
            <v>Vulnerabilidad</v>
          </cell>
          <cell r="G213">
            <v>2026</v>
          </cell>
          <cell r="I213" t="str">
            <v>Nathaly Allcca</v>
          </cell>
          <cell r="J213" t="str">
            <v>En Proceso</v>
          </cell>
          <cell r="K213">
            <v>46035</v>
          </cell>
        </row>
        <row r="214">
          <cell r="B214" t="str">
            <v>TX_CRA2026_44</v>
          </cell>
          <cell r="C214" t="str">
            <v>0101001_LA_Mocupe to 0104204_LI_Andres_Razuri</v>
          </cell>
          <cell r="D214" t="str">
            <v>M0825</v>
          </cell>
          <cell r="E214" t="str">
            <v>CRA MOVIL ADELANTO Q1 2026</v>
          </cell>
          <cell r="F214" t="str">
            <v>Vulnerabilidad</v>
          </cell>
          <cell r="G214">
            <v>2026</v>
          </cell>
          <cell r="I214" t="str">
            <v>Nathaly Allcca</v>
          </cell>
          <cell r="J214" t="str">
            <v>En Proceso</v>
          </cell>
          <cell r="K214">
            <v>46035</v>
          </cell>
        </row>
        <row r="215">
          <cell r="B215" t="str">
            <v>TX_CRA2026_45</v>
          </cell>
          <cell r="C215" t="str">
            <v>0100939_AQ_Jesus to 0100997_AQ_Sodimac_Arequipa</v>
          </cell>
          <cell r="D215" t="str">
            <v>M0825</v>
          </cell>
          <cell r="E215" t="str">
            <v>CRA MOVIL ADELANTO Q1 2026</v>
          </cell>
          <cell r="F215" t="str">
            <v>Vulnerabilidad</v>
          </cell>
          <cell r="G215">
            <v>2026</v>
          </cell>
          <cell r="I215" t="str">
            <v>Nathaly Allcca</v>
          </cell>
          <cell r="J215" t="str">
            <v>En Proceso</v>
          </cell>
          <cell r="K215">
            <v>46035</v>
          </cell>
        </row>
        <row r="216">
          <cell r="B216" t="str">
            <v>TX_CRA2026_46</v>
          </cell>
          <cell r="C216" t="str">
            <v>0100909_AQ_Los_Rosales to 0103801_AQ_Alto_De_Jesus</v>
          </cell>
          <cell r="D216" t="str">
            <v>M0825</v>
          </cell>
          <cell r="E216" t="str">
            <v>CRA MOVIL ADELANTO Q1 2026</v>
          </cell>
          <cell r="F216" t="str">
            <v>Vulnerabilidad</v>
          </cell>
          <cell r="G216">
            <v>2026</v>
          </cell>
          <cell r="I216" t="str">
            <v>Nathaly Allcca</v>
          </cell>
          <cell r="J216" t="str">
            <v>En Proceso</v>
          </cell>
          <cell r="K216">
            <v>46035</v>
          </cell>
        </row>
        <row r="217">
          <cell r="B217" t="str">
            <v>TX_CRA2026_47</v>
          </cell>
          <cell r="C217" t="str">
            <v>0101207_TA_Cerro_Para to 0102641_TA_Local_Campana</v>
          </cell>
          <cell r="D217" t="str">
            <v>M0825</v>
          </cell>
          <cell r="E217" t="str">
            <v>CRA MOVIL ADELANTO Q1 2026</v>
          </cell>
          <cell r="F217" t="str">
            <v>Vulnerabilidad</v>
          </cell>
          <cell r="G217">
            <v>2026</v>
          </cell>
          <cell r="I217" t="str">
            <v>Nathaly Allcca</v>
          </cell>
          <cell r="J217" t="str">
            <v>En Proceso</v>
          </cell>
          <cell r="K217">
            <v>46035</v>
          </cell>
        </row>
        <row r="218">
          <cell r="B218" t="str">
            <v>TX_CRA2026_48</v>
          </cell>
          <cell r="C218" t="str">
            <v>0101207_TA_Cerro_Para to 0101203_TA_Tacna_aeropuerto</v>
          </cell>
          <cell r="D218" t="str">
            <v>M0825</v>
          </cell>
          <cell r="E218" t="str">
            <v>CRA MOVIL ADELANTO Q1 2026</v>
          </cell>
          <cell r="F218" t="str">
            <v>Vulnerabilidad</v>
          </cell>
          <cell r="G218">
            <v>2026</v>
          </cell>
          <cell r="I218" t="str">
            <v>Nathaly Allcca</v>
          </cell>
          <cell r="J218" t="str">
            <v>En Proceso</v>
          </cell>
          <cell r="K218">
            <v>46035</v>
          </cell>
        </row>
        <row r="219">
          <cell r="B219" t="str">
            <v>TX_CRA2026_49</v>
          </cell>
          <cell r="C219" t="str">
            <v>0100939_AQ_Jesus to 0100956_AQ_Colonial</v>
          </cell>
          <cell r="D219" t="str">
            <v>M0825</v>
          </cell>
          <cell r="E219" t="str">
            <v>CRA MOVIL ADELANTO Q1 2026</v>
          </cell>
          <cell r="F219" t="str">
            <v>Vulnerabilidad</v>
          </cell>
          <cell r="G219">
            <v>2026</v>
          </cell>
          <cell r="I219" t="str">
            <v>Nathaly Allcca</v>
          </cell>
          <cell r="J219" t="str">
            <v>No RFI</v>
          </cell>
          <cell r="K219">
            <v>46035</v>
          </cell>
        </row>
        <row r="220">
          <cell r="B220" t="str">
            <v>TX_CRA2026_50</v>
          </cell>
          <cell r="C220" t="str">
            <v>0105957_LM_Calle_Japones to 010250620_LM_Stella_Maris</v>
          </cell>
          <cell r="D220" t="str">
            <v>M0825</v>
          </cell>
          <cell r="E220" t="str">
            <v>CRA MOVIL ADELANTO Q1 2026</v>
          </cell>
          <cell r="F220" t="str">
            <v>Vulnerabilidad</v>
          </cell>
          <cell r="G220">
            <v>2026</v>
          </cell>
          <cell r="I220" t="str">
            <v>Nathaly Allcca</v>
          </cell>
          <cell r="J220" t="str">
            <v>En Proceso</v>
          </cell>
          <cell r="K220">
            <v>46035</v>
          </cell>
        </row>
        <row r="221">
          <cell r="B221" t="str">
            <v>TX_CRA2026_51</v>
          </cell>
          <cell r="C221" t="str">
            <v>0104282_LI_Alto_Shorey to 0104236_LI_Quiruvilca</v>
          </cell>
          <cell r="D221" t="str">
            <v>M0825</v>
          </cell>
          <cell r="E221" t="str">
            <v>CRA MOVIL ADELANTO Q1 2026</v>
          </cell>
          <cell r="F221" t="str">
            <v>Vulnerabilidad</v>
          </cell>
          <cell r="G221">
            <v>2026</v>
          </cell>
          <cell r="I221" t="str">
            <v>Nathaly Allcca</v>
          </cell>
          <cell r="J221" t="str">
            <v>En Proceso</v>
          </cell>
          <cell r="K221">
            <v>46035</v>
          </cell>
        </row>
        <row r="222">
          <cell r="B222" t="str">
            <v>TX_CRA2026_52</v>
          </cell>
          <cell r="C222" t="str">
            <v>0100540_LM_Repetidor_La_Milla to 0105372_LM_Nuevo_Peru</v>
          </cell>
          <cell r="D222" t="str">
            <v>M0825</v>
          </cell>
          <cell r="E222" t="str">
            <v>CRA MOVIL ADELANTO Q1 2026</v>
          </cell>
          <cell r="F222" t="str">
            <v>Vulnerabilidad</v>
          </cell>
          <cell r="G222">
            <v>2026</v>
          </cell>
          <cell r="I222" t="str">
            <v>Nathaly Allcca</v>
          </cell>
          <cell r="J222" t="str">
            <v>En Proceso</v>
          </cell>
          <cell r="K222">
            <v>46035</v>
          </cell>
        </row>
        <row r="223">
          <cell r="B223" t="str">
            <v>TX_CRA2026_53</v>
          </cell>
          <cell r="C223" t="str">
            <v>0102275_IC_Estadio_Alegre to 0102262_IC_COW_Coyote</v>
          </cell>
          <cell r="D223" t="str">
            <v>M0825</v>
          </cell>
          <cell r="E223" t="str">
            <v>CRA MOVIL ADELANTO Q1 2026</v>
          </cell>
          <cell r="F223" t="str">
            <v>Vulnerabilidad</v>
          </cell>
          <cell r="G223">
            <v>2026</v>
          </cell>
          <cell r="I223" t="str">
            <v>Nathaly Allcca</v>
          </cell>
          <cell r="J223" t="str">
            <v>En Proceso</v>
          </cell>
          <cell r="K223">
            <v>46035</v>
          </cell>
        </row>
        <row r="224">
          <cell r="B224" t="str">
            <v>TX_CRA2026_54</v>
          </cell>
          <cell r="C224" t="str">
            <v>0100130_LM_San_Borja_Norte to 0100070_LM_Museo</v>
          </cell>
          <cell r="D224" t="str">
            <v>M0825</v>
          </cell>
          <cell r="E224" t="str">
            <v>CRA MOVIL ADELANTO Q1 2026</v>
          </cell>
          <cell r="F224" t="str">
            <v>Vulnerabilidad</v>
          </cell>
          <cell r="G224">
            <v>2026</v>
          </cell>
          <cell r="I224" t="str">
            <v>Nathaly Allcca</v>
          </cell>
          <cell r="J224" t="str">
            <v>En Proceso</v>
          </cell>
          <cell r="K224">
            <v>46035</v>
          </cell>
        </row>
        <row r="225">
          <cell r="B225" t="str">
            <v>TX_CRA2026_55</v>
          </cell>
          <cell r="C225" t="str">
            <v>0100032_LM_Jorge_Chavez to 0105850_LM_Estadio_Guizado</v>
          </cell>
          <cell r="D225" t="str">
            <v>M0825</v>
          </cell>
          <cell r="E225" t="str">
            <v>CRA MOVIL ADELANTO Q1 2026</v>
          </cell>
          <cell r="F225" t="str">
            <v>Vulnerabilidad</v>
          </cell>
          <cell r="G225">
            <v>2026</v>
          </cell>
          <cell r="I225" t="str">
            <v>Nathaly Allcca</v>
          </cell>
          <cell r="J225" t="str">
            <v>En Proceso</v>
          </cell>
          <cell r="K225">
            <v>46035</v>
          </cell>
        </row>
        <row r="226">
          <cell r="B226" t="str">
            <v>TX_CRA2026_56</v>
          </cell>
          <cell r="C226" t="str">
            <v>0100107_LM_Higuereta to 0105878_LM_Juana_Alarco</v>
          </cell>
          <cell r="D226" t="str">
            <v>M0825</v>
          </cell>
          <cell r="E226" t="str">
            <v>CRA MOVIL ADELANTO Q1 2026</v>
          </cell>
          <cell r="F226" t="str">
            <v>Vulnerabilidad</v>
          </cell>
          <cell r="G226">
            <v>2026</v>
          </cell>
          <cell r="I226" t="str">
            <v>Nathaly Allcca</v>
          </cell>
          <cell r="J226" t="str">
            <v>En Proceso</v>
          </cell>
          <cell r="K226">
            <v>46035</v>
          </cell>
        </row>
        <row r="227">
          <cell r="B227" t="str">
            <v>TX_CRA2026_57</v>
          </cell>
          <cell r="C227" t="str">
            <v>0100005_LM_SMPorres to 0100351_LM_Picher_R1</v>
          </cell>
          <cell r="D227" t="str">
            <v>M0825</v>
          </cell>
          <cell r="E227" t="str">
            <v>CRA MOVIL ADELANTO Q1 2026</v>
          </cell>
          <cell r="F227" t="str">
            <v>Vulnerabilidad</v>
          </cell>
          <cell r="G227">
            <v>2026</v>
          </cell>
          <cell r="I227" t="str">
            <v>Nathaly Allcca</v>
          </cell>
          <cell r="J227" t="str">
            <v>Con RQ</v>
          </cell>
          <cell r="K227">
            <v>46035</v>
          </cell>
        </row>
        <row r="228">
          <cell r="B228" t="str">
            <v>TX_CRA2026_58</v>
          </cell>
          <cell r="C228" t="str">
            <v>0100539_LM_Camino_Real to 0100291_LM_Choquehuanca</v>
          </cell>
          <cell r="D228" t="str">
            <v>M0825</v>
          </cell>
          <cell r="E228" t="str">
            <v>CRA MOVIL ADELANTO Q1 2026</v>
          </cell>
          <cell r="F228" t="str">
            <v>Vulnerabilidad</v>
          </cell>
          <cell r="G228">
            <v>2026</v>
          </cell>
          <cell r="I228" t="str">
            <v>Nathaly Allcca</v>
          </cell>
          <cell r="J228" t="str">
            <v>Con RQ</v>
          </cell>
          <cell r="K228">
            <v>46035</v>
          </cell>
        </row>
        <row r="229">
          <cell r="B229" t="str">
            <v>TX_CRA2026_59</v>
          </cell>
          <cell r="C229" t="str">
            <v>0101335_CS_Av_Libertad to 0101392_CS_Tierra_Prometida</v>
          </cell>
          <cell r="D229" t="str">
            <v>M0825</v>
          </cell>
          <cell r="E229" t="str">
            <v>CRA MOVIL ADELANTO Q1 2026</v>
          </cell>
          <cell r="F229" t="str">
            <v>Vulnerabilidad</v>
          </cell>
          <cell r="G229">
            <v>2026</v>
          </cell>
          <cell r="I229" t="str">
            <v>Nathaly Allcca</v>
          </cell>
          <cell r="J229" t="str">
            <v>Activado</v>
          </cell>
          <cell r="K229">
            <v>46035</v>
          </cell>
        </row>
        <row r="230">
          <cell r="B230" t="str">
            <v>TX_CRA2026_60</v>
          </cell>
          <cell r="C230" t="str">
            <v>0100940_AQ_UNSA to 0103861_AQ_Auxiliadora_Aqp</v>
          </cell>
          <cell r="D230" t="str">
            <v>M0825</v>
          </cell>
          <cell r="E230" t="str">
            <v>CRA MOVIL ADELANTO Q1 2026</v>
          </cell>
          <cell r="F230" t="str">
            <v>Vulnerabilidad</v>
          </cell>
          <cell r="G230">
            <v>2026</v>
          </cell>
          <cell r="I230" t="str">
            <v>Nathaly Allcca</v>
          </cell>
          <cell r="J230" t="str">
            <v>Con RQ</v>
          </cell>
          <cell r="K230">
            <v>46035</v>
          </cell>
        </row>
        <row r="231">
          <cell r="B231" t="str">
            <v>TX_CRA2026_61</v>
          </cell>
          <cell r="C231" t="str">
            <v>0103313_UY_Jorge_Najarkokali to 0103305_UY_Parque_Mangualito</v>
          </cell>
          <cell r="D231" t="str">
            <v>M0825</v>
          </cell>
          <cell r="E231" t="str">
            <v>CRA MOVIL ADELANTO Q1 2026</v>
          </cell>
          <cell r="F231" t="str">
            <v>Vulnerabilidad</v>
          </cell>
          <cell r="G231">
            <v>2026</v>
          </cell>
          <cell r="I231" t="str">
            <v>Nathaly Allcca</v>
          </cell>
          <cell r="J231" t="str">
            <v>Con RQ</v>
          </cell>
          <cell r="K231">
            <v>46035</v>
          </cell>
        </row>
        <row r="232">
          <cell r="B232" t="str">
            <v>TX_CRA2026_62</v>
          </cell>
          <cell r="C232" t="str">
            <v>0103935_AQ_La_Tomilla to 0104477_AQ_Francisco_Mostajo</v>
          </cell>
          <cell r="D232" t="str">
            <v>M0825</v>
          </cell>
          <cell r="E232" t="str">
            <v>CRA MOVIL ADELANTO Q1 2026</v>
          </cell>
          <cell r="F232" t="str">
            <v>Vulnerabilidad</v>
          </cell>
          <cell r="G232">
            <v>2026</v>
          </cell>
          <cell r="I232" t="str">
            <v>Nathaly Allcca</v>
          </cell>
          <cell r="J232" t="str">
            <v>Con RQ</v>
          </cell>
          <cell r="K232">
            <v>46035</v>
          </cell>
        </row>
        <row r="233">
          <cell r="B233" t="str">
            <v>TX_CRA2026_63</v>
          </cell>
          <cell r="C233" t="str">
            <v>0100643_LI_Trujillo_Norte to 0100689_LI_Pierola_Norte</v>
          </cell>
          <cell r="D233" t="str">
            <v>M0825</v>
          </cell>
          <cell r="E233" t="str">
            <v>CRA MOVIL ADELANTO Q1 2026</v>
          </cell>
          <cell r="F233" t="str">
            <v>Vulnerabilidad</v>
          </cell>
          <cell r="G233">
            <v>2026</v>
          </cell>
          <cell r="I233" t="str">
            <v>Nathaly Allcca</v>
          </cell>
          <cell r="J233" t="str">
            <v>Con RQ</v>
          </cell>
          <cell r="K233">
            <v>46035</v>
          </cell>
        </row>
        <row r="234">
          <cell r="B234" t="str">
            <v>TX_CRA2026_64</v>
          </cell>
          <cell r="C234" t="str">
            <v>0103868_AQ_Belen_Aqp to 0100967_AQ_Cerro_Colorado</v>
          </cell>
          <cell r="D234" t="str">
            <v>M0825</v>
          </cell>
          <cell r="E234" t="str">
            <v>CRA MOVIL ADELANTO Q1 2026</v>
          </cell>
          <cell r="F234" t="str">
            <v>Vulnerabilidad</v>
          </cell>
          <cell r="G234">
            <v>2026</v>
          </cell>
          <cell r="I234" t="str">
            <v>Nathaly Allcca</v>
          </cell>
          <cell r="J234" t="str">
            <v>No RFI</v>
          </cell>
          <cell r="K234">
            <v>46035</v>
          </cell>
        </row>
        <row r="235">
          <cell r="B235" t="str">
            <v>TX_CRA2026_65</v>
          </cell>
          <cell r="C235" t="str">
            <v>0100449_LM_Pq_Ind_Lurin to 0106251_LM_Independencia_Franc</v>
          </cell>
          <cell r="D235" t="str">
            <v>M0825</v>
          </cell>
          <cell r="E235" t="str">
            <v>CRA MOVIL ADELANTO Q1 2026</v>
          </cell>
          <cell r="F235" t="str">
            <v>Vulnerabilidad</v>
          </cell>
          <cell r="G235">
            <v>2026</v>
          </cell>
          <cell r="I235" t="str">
            <v>Nathaly Allcca</v>
          </cell>
          <cell r="J235" t="str">
            <v>No RFI</v>
          </cell>
          <cell r="K235">
            <v>46035</v>
          </cell>
        </row>
        <row r="236">
          <cell r="B236" t="str">
            <v>TX_CRA2026_66</v>
          </cell>
          <cell r="C236" t="str">
            <v>0100475_LM_Las_Palmas to 0102668_LM_Caen_R1</v>
          </cell>
          <cell r="D236" t="str">
            <v>M0825</v>
          </cell>
          <cell r="E236" t="str">
            <v>CRA MOVIL ADELANTO Q1 2026</v>
          </cell>
          <cell r="F236" t="str">
            <v>Vulnerabilidad</v>
          </cell>
          <cell r="G236">
            <v>2026</v>
          </cell>
          <cell r="I236" t="str">
            <v>Nathaly Allcca</v>
          </cell>
          <cell r="J236" t="str">
            <v>Con RQ</v>
          </cell>
          <cell r="K236">
            <v>46035</v>
          </cell>
        </row>
        <row r="237">
          <cell r="B237" t="str">
            <v>TX_CRA2026_67</v>
          </cell>
          <cell r="C237" t="str">
            <v>0100028_LM_MSO to 0102733_LM_HB_Diez_Canseco_AMT</v>
          </cell>
          <cell r="D237" t="str">
            <v>M0825</v>
          </cell>
          <cell r="E237" t="str">
            <v>CRA MOVIL ADELANTO Q1 2026</v>
          </cell>
          <cell r="F237" t="str">
            <v>Vulnerabilidad</v>
          </cell>
          <cell r="G237">
            <v>2026</v>
          </cell>
          <cell r="I237" t="str">
            <v>Nathaly Allcca</v>
          </cell>
          <cell r="J237" t="str">
            <v>Con RQ</v>
          </cell>
          <cell r="K237">
            <v>46035</v>
          </cell>
        </row>
        <row r="238">
          <cell r="B238" t="str">
            <v>TX_CRA2026_68</v>
          </cell>
          <cell r="C238" t="str">
            <v>0100138_LM_Canevaro to 010252096_LM_Registros_Publicos_R1</v>
          </cell>
          <cell r="D238" t="str">
            <v>M0825</v>
          </cell>
          <cell r="E238" t="str">
            <v>CRA MOVIL ADELANTO Q1 2026</v>
          </cell>
          <cell r="F238" t="str">
            <v>Vulnerabilidad</v>
          </cell>
          <cell r="G238">
            <v>2026</v>
          </cell>
          <cell r="I238" t="str">
            <v>Nathaly Allcca</v>
          </cell>
          <cell r="J238" t="str">
            <v>No RFI</v>
          </cell>
          <cell r="K238">
            <v>46035</v>
          </cell>
        </row>
        <row r="239">
          <cell r="B239" t="str">
            <v>TX_CRA2026_69</v>
          </cell>
          <cell r="C239" t="str">
            <v>0100015_LM_Huayucari to 0102762_LM_HB_Ate_AMT</v>
          </cell>
          <cell r="D239" t="str">
            <v>M0825</v>
          </cell>
          <cell r="E239" t="str">
            <v>CRA MOVIL ADELANTO Q1 2026</v>
          </cell>
          <cell r="F239" t="str">
            <v>Vulnerabilidad</v>
          </cell>
          <cell r="G239">
            <v>2026</v>
          </cell>
          <cell r="I239" t="str">
            <v>Nathaly Allcca</v>
          </cell>
          <cell r="J239" t="str">
            <v>Activado</v>
          </cell>
          <cell r="K239">
            <v>46035</v>
          </cell>
        </row>
        <row r="240">
          <cell r="B240" t="str">
            <v>TX_CRA2026_70</v>
          </cell>
          <cell r="C240" t="str">
            <v>0100108_LM_Puente_Atocongo to 0105062_LM_BMX_Proceres</v>
          </cell>
          <cell r="D240" t="str">
            <v>M0825</v>
          </cell>
          <cell r="E240" t="str">
            <v>CRA MOVIL ADELANTO Q1 2026</v>
          </cell>
          <cell r="F240" t="str">
            <v>Vulnerabilidad</v>
          </cell>
          <cell r="G240">
            <v>2026</v>
          </cell>
          <cell r="I240" t="str">
            <v>Nathaly Allcca</v>
          </cell>
          <cell r="J240" t="str">
            <v>Con RQ</v>
          </cell>
          <cell r="K240">
            <v>46035</v>
          </cell>
        </row>
        <row r="241">
          <cell r="B241" t="str">
            <v>TX_CRA2026_71</v>
          </cell>
          <cell r="C241" t="str">
            <v>0100607_LI_Husares_de_Junin to 0100668_LI_Unt</v>
          </cell>
          <cell r="D241" t="str">
            <v>M0825</v>
          </cell>
          <cell r="E241" t="str">
            <v>CRA MOVIL ADELANTO Q1 2026</v>
          </cell>
          <cell r="F241" t="str">
            <v>Vulnerabilidad</v>
          </cell>
          <cell r="G241">
            <v>2026</v>
          </cell>
          <cell r="I241" t="str">
            <v>Nathaly Allcca</v>
          </cell>
          <cell r="J241" t="str">
            <v>Activado</v>
          </cell>
          <cell r="K241">
            <v>46035</v>
          </cell>
        </row>
        <row r="242">
          <cell r="B242" t="str">
            <v>TX_CRA2026_72</v>
          </cell>
          <cell r="C242" t="str">
            <v>0100817_IC_Pisco to 0100824_IC_Pisco_Centro</v>
          </cell>
          <cell r="D242" t="str">
            <v>M0825</v>
          </cell>
          <cell r="E242" t="str">
            <v>CRA MOVIL ADELANTO Q1 2026</v>
          </cell>
          <cell r="F242" t="str">
            <v>Vulnerabilidad</v>
          </cell>
          <cell r="G242">
            <v>2026</v>
          </cell>
          <cell r="I242" t="str">
            <v>Nathaly Allcca</v>
          </cell>
          <cell r="J242" t="str">
            <v>Con RQ</v>
          </cell>
          <cell r="K242">
            <v>46035</v>
          </cell>
        </row>
        <row r="243">
          <cell r="B243" t="str">
            <v>TX_CRA2026_73</v>
          </cell>
          <cell r="C243" t="str">
            <v>0100142_LM_Caja_de_Agua to 0102979_LM_Modelo_Becquer</v>
          </cell>
          <cell r="D243" t="str">
            <v>M0825</v>
          </cell>
          <cell r="E243" t="str">
            <v>CRA MOVIL ADELANTO Q1 2026</v>
          </cell>
          <cell r="F243" t="str">
            <v>Vulnerabilidad</v>
          </cell>
          <cell r="G243">
            <v>2026</v>
          </cell>
          <cell r="I243" t="str">
            <v>Nathaly Allcca</v>
          </cell>
          <cell r="J243" t="str">
            <v>En Proceso</v>
          </cell>
          <cell r="K243">
            <v>46035</v>
          </cell>
        </row>
        <row r="244">
          <cell r="B244" t="str">
            <v>TX_CRA2026_74</v>
          </cell>
          <cell r="C244" t="str">
            <v>0100821_IC_Ayabaca to 0100867_IC_Nicolas_Rivera</v>
          </cell>
          <cell r="D244" t="str">
            <v>M0825</v>
          </cell>
          <cell r="E244" t="str">
            <v>CRA MOVIL ADELANTO Q1 2026</v>
          </cell>
          <cell r="F244" t="str">
            <v>Vulnerabilidad</v>
          </cell>
          <cell r="G244">
            <v>2026</v>
          </cell>
          <cell r="I244" t="str">
            <v>Nathaly Allcca</v>
          </cell>
          <cell r="J244" t="str">
            <v>En Proceso</v>
          </cell>
          <cell r="K244">
            <v>46035</v>
          </cell>
        </row>
        <row r="245">
          <cell r="B245" t="str">
            <v>TX_CRA2026_75</v>
          </cell>
          <cell r="C245" t="str">
            <v>0100087_LM_San_Miguelito to 0106101_LM_Pando_5_Etapa</v>
          </cell>
          <cell r="D245" t="str">
            <v>M0825</v>
          </cell>
          <cell r="E245" t="str">
            <v>CRA MOVIL ADELANTO Q1 2026</v>
          </cell>
          <cell r="F245" t="str">
            <v>Vulnerabilidad</v>
          </cell>
          <cell r="G245">
            <v>2026</v>
          </cell>
          <cell r="I245" t="str">
            <v>Nathaly Allcca</v>
          </cell>
          <cell r="J245" t="str">
            <v>En Proceso</v>
          </cell>
          <cell r="K245">
            <v>46035</v>
          </cell>
        </row>
        <row r="246">
          <cell r="B246" t="str">
            <v>TX_CRA2026_76</v>
          </cell>
          <cell r="C246" t="str">
            <v>0102732_LM_HB_Chartered_AMT to 0106041_LM_Citibank</v>
          </cell>
          <cell r="D246" t="str">
            <v>M0825</v>
          </cell>
          <cell r="E246" t="str">
            <v>CRA MOVIL ADELANTO Q1 2026</v>
          </cell>
          <cell r="F246" t="str">
            <v>Vulnerabilidad</v>
          </cell>
          <cell r="G246">
            <v>2026</v>
          </cell>
          <cell r="I246" t="str">
            <v>Nathaly Allcca</v>
          </cell>
          <cell r="J246" t="str">
            <v>En Proceso</v>
          </cell>
          <cell r="K246">
            <v>46035</v>
          </cell>
        </row>
        <row r="247">
          <cell r="B247" t="str">
            <v>TX_CRA2026_77</v>
          </cell>
          <cell r="C247" t="str">
            <v>0100302_LM_Comercial_Surquill to 0102867_LM_HB_Dante_AMT</v>
          </cell>
          <cell r="D247" t="str">
            <v>M0825</v>
          </cell>
          <cell r="E247" t="str">
            <v>CRA MOVIL ADELANTO Q1 2026</v>
          </cell>
          <cell r="F247" t="str">
            <v>Vulnerabilidad</v>
          </cell>
          <cell r="G247">
            <v>2026</v>
          </cell>
          <cell r="I247" t="str">
            <v>Nathaly Allcca</v>
          </cell>
          <cell r="J247" t="str">
            <v>Cancelado</v>
          </cell>
          <cell r="K247">
            <v>46035</v>
          </cell>
        </row>
        <row r="248">
          <cell r="B248" t="str">
            <v>TX_CRA2026_78</v>
          </cell>
          <cell r="C248" t="str">
            <v>0102732_LM_HB_Chartered_AMT to 0100062_LM_Aramburu</v>
          </cell>
          <cell r="D248" t="str">
            <v>M0825</v>
          </cell>
          <cell r="E248" t="str">
            <v>CRA MOVIL ADELANTO Q1 2026</v>
          </cell>
          <cell r="F248" t="str">
            <v>Vulnerabilidad</v>
          </cell>
          <cell r="G248">
            <v>2026</v>
          </cell>
          <cell r="I248" t="str">
            <v>Nathaly Allcca</v>
          </cell>
          <cell r="J248" t="str">
            <v>No RFI</v>
          </cell>
          <cell r="K248">
            <v>46035</v>
          </cell>
        </row>
        <row r="249">
          <cell r="B249" t="str">
            <v>TX_CRA2026_79</v>
          </cell>
          <cell r="C249" t="str">
            <v>0102731_LM_HB_Camino_Real_AMT to 0100057_LM_El_Golf</v>
          </cell>
          <cell r="D249" t="str">
            <v>M0825</v>
          </cell>
          <cell r="E249" t="str">
            <v>CRA MOVIL ADELANTO Q1 2026</v>
          </cell>
          <cell r="F249" t="str">
            <v>Vulnerabilidad</v>
          </cell>
          <cell r="G249">
            <v>2026</v>
          </cell>
          <cell r="I249" t="str">
            <v>Nathaly Allcca</v>
          </cell>
          <cell r="J249" t="str">
            <v>En Proceso</v>
          </cell>
          <cell r="K249">
            <v>46035</v>
          </cell>
        </row>
        <row r="250">
          <cell r="B250" t="str">
            <v>TX_CRA2026_80</v>
          </cell>
          <cell r="C250" t="str">
            <v>0100028_LM_MSO to 0100024_LM_Pezet</v>
          </cell>
          <cell r="D250" t="str">
            <v>M0825</v>
          </cell>
          <cell r="E250" t="str">
            <v>CRA MOVIL ADELANTO Q1 2026</v>
          </cell>
          <cell r="F250" t="str">
            <v>Vulnerabilidad</v>
          </cell>
          <cell r="G250">
            <v>2026</v>
          </cell>
          <cell r="I250" t="str">
            <v>Nathaly Allcca</v>
          </cell>
          <cell r="J250" t="str">
            <v>Cancelado</v>
          </cell>
          <cell r="K250">
            <v>46035</v>
          </cell>
        </row>
        <row r="251">
          <cell r="B251" t="str">
            <v>TX_CRA2026_81</v>
          </cell>
          <cell r="C251" t="str">
            <v>0102732_LM_HB_Chartered_AMT to 0104644_LM_C_y_Moreyra_R1</v>
          </cell>
          <cell r="D251" t="str">
            <v>M0825</v>
          </cell>
          <cell r="E251" t="str">
            <v>CRA MOVIL ADELANTO Q1 2026</v>
          </cell>
          <cell r="F251" t="str">
            <v>Vulnerabilidad</v>
          </cell>
          <cell r="G251">
            <v>2026</v>
          </cell>
          <cell r="I251" t="str">
            <v>Nathaly Allcca</v>
          </cell>
          <cell r="J251" t="str">
            <v>En Proceso</v>
          </cell>
          <cell r="K251">
            <v>46035</v>
          </cell>
        </row>
        <row r="252">
          <cell r="B252" t="str">
            <v>TX_CRA2026_82</v>
          </cell>
          <cell r="C252" t="str">
            <v>0100547_LM_San_Felipe_BA to 0106312_LM_Nayris</v>
          </cell>
          <cell r="D252" t="str">
            <v>M0825</v>
          </cell>
          <cell r="E252" t="str">
            <v>CRA MOVIL ADELANTO Q1 2026</v>
          </cell>
          <cell r="F252" t="str">
            <v>Vulnerabilidad</v>
          </cell>
          <cell r="G252">
            <v>2026</v>
          </cell>
          <cell r="I252" t="str">
            <v>Nathaly Allcca</v>
          </cell>
          <cell r="J252" t="str">
            <v>En Proceso</v>
          </cell>
          <cell r="K252">
            <v>46035</v>
          </cell>
        </row>
        <row r="253">
          <cell r="B253" t="str">
            <v>TX_CRA2026_83</v>
          </cell>
          <cell r="C253" t="str">
            <v>0105840_LM_Hacienda_San_Juan to 0105511_LM_Rodrigo_Franco</v>
          </cell>
          <cell r="D253" t="str">
            <v>M0825</v>
          </cell>
          <cell r="E253" t="str">
            <v>CRA MOVIL ADELANTO Q1 2026</v>
          </cell>
          <cell r="F253" t="str">
            <v>Vulnerabilidad</v>
          </cell>
          <cell r="G253">
            <v>2026</v>
          </cell>
          <cell r="I253" t="str">
            <v>Nathaly Allcca</v>
          </cell>
          <cell r="J253" t="str">
            <v>En Proceso</v>
          </cell>
          <cell r="K253">
            <v>46035</v>
          </cell>
        </row>
        <row r="254">
          <cell r="B254" t="str">
            <v>TX_CRA2026_84</v>
          </cell>
          <cell r="C254" t="str">
            <v>0100254_LM_Mercado_Mayorista to 0105976_LM_Biondi</v>
          </cell>
          <cell r="D254" t="str">
            <v>M0825</v>
          </cell>
          <cell r="E254" t="str">
            <v>CRA MOVIL ADELANTO Q1 2026</v>
          </cell>
          <cell r="F254" t="str">
            <v>Vulnerabilidad</v>
          </cell>
          <cell r="G254">
            <v>2026</v>
          </cell>
          <cell r="I254" t="str">
            <v>Nathaly Allcca</v>
          </cell>
          <cell r="J254" t="str">
            <v>En Proceso</v>
          </cell>
          <cell r="K254">
            <v>46035</v>
          </cell>
        </row>
        <row r="255">
          <cell r="B255" t="str">
            <v>TX_CRA2026_85</v>
          </cell>
          <cell r="C255" t="str">
            <v>0100036_LM_Rio_Nazca to 0106092_LM_Beingolea</v>
          </cell>
          <cell r="D255" t="str">
            <v>M0825</v>
          </cell>
          <cell r="E255" t="str">
            <v>CRA MOVIL ADELANTO Q1 2026</v>
          </cell>
          <cell r="F255" t="str">
            <v>Vulnerabilidad</v>
          </cell>
          <cell r="G255">
            <v>2026</v>
          </cell>
          <cell r="I255" t="str">
            <v>Nathaly Allcca</v>
          </cell>
          <cell r="J255" t="str">
            <v>En Proceso</v>
          </cell>
          <cell r="K255">
            <v>46035</v>
          </cell>
        </row>
        <row r="256">
          <cell r="B256" t="str">
            <v>TX_CRA2026_86</v>
          </cell>
          <cell r="C256" t="str">
            <v>0100607_LI_Husares_de_Junin to 0100630_LI_Albretch</v>
          </cell>
          <cell r="D256" t="str">
            <v>M0825</v>
          </cell>
          <cell r="E256" t="str">
            <v>CRA MOVIL ADELANTO Q1 2026</v>
          </cell>
          <cell r="F256" t="str">
            <v>Vulnerabilidad</v>
          </cell>
          <cell r="G256">
            <v>2026</v>
          </cell>
          <cell r="I256" t="str">
            <v>Nathaly Allcca</v>
          </cell>
          <cell r="J256" t="str">
            <v>No RFI</v>
          </cell>
          <cell r="K256">
            <v>46035</v>
          </cell>
        </row>
        <row r="257">
          <cell r="B257" t="str">
            <v>TX_CRA2026_87</v>
          </cell>
          <cell r="C257" t="str">
            <v>0100643_LI_Trujillo_Norte to 0104703_LI_Alvear</v>
          </cell>
          <cell r="D257" t="str">
            <v>M0825</v>
          </cell>
          <cell r="E257" t="str">
            <v>CRA MOVIL ADELANTO Q1 2026</v>
          </cell>
          <cell r="F257" t="str">
            <v>Vulnerabilidad</v>
          </cell>
          <cell r="G257">
            <v>2026</v>
          </cell>
          <cell r="I257" t="str">
            <v>Nathaly Allcca</v>
          </cell>
          <cell r="J257" t="str">
            <v>En Proceso</v>
          </cell>
          <cell r="K257">
            <v>46035</v>
          </cell>
        </row>
        <row r="258">
          <cell r="B258" t="str">
            <v>TX_CRA2026_88</v>
          </cell>
          <cell r="C258" t="str">
            <v>0100607_LI_Husares_de_Junin to 0100693_LI_Chicago</v>
          </cell>
          <cell r="D258" t="str">
            <v>M0825</v>
          </cell>
          <cell r="E258" t="str">
            <v>CRA MOVIL ADELANTO Q1 2026</v>
          </cell>
          <cell r="F258" t="str">
            <v>Vulnerabilidad</v>
          </cell>
          <cell r="G258">
            <v>2026</v>
          </cell>
          <cell r="I258" t="str">
            <v>Nathaly Allcca</v>
          </cell>
          <cell r="J258" t="str">
            <v>Cancelado</v>
          </cell>
          <cell r="K258">
            <v>46035</v>
          </cell>
        </row>
        <row r="259">
          <cell r="B259" t="str">
            <v>TX_CRA2026_89</v>
          </cell>
          <cell r="C259" t="str">
            <v>0100488_LM_Chilca to 0104468_LM_Entrada_Chilca</v>
          </cell>
          <cell r="D259" t="str">
            <v>M0825</v>
          </cell>
          <cell r="E259" t="str">
            <v>CRA MOVIL ADELANTO Q1 2026</v>
          </cell>
          <cell r="F259" t="str">
            <v>Vulnerabilidad</v>
          </cell>
          <cell r="G259">
            <v>2026</v>
          </cell>
          <cell r="I259" t="str">
            <v>Nathaly Allcca</v>
          </cell>
          <cell r="J259" t="str">
            <v>En Proceso</v>
          </cell>
          <cell r="K259">
            <v>46035</v>
          </cell>
        </row>
        <row r="260">
          <cell r="B260" t="str">
            <v>TX_CRA2026_90</v>
          </cell>
          <cell r="C260" t="str">
            <v>0100901_AQ_Arequipa_Centro to 010140253_AQ_Queso_Helado</v>
          </cell>
          <cell r="D260" t="str">
            <v>M0825</v>
          </cell>
          <cell r="E260" t="str">
            <v>CRA MOVIL ADELANTO Q1 2026</v>
          </cell>
          <cell r="F260" t="str">
            <v>Vulnerabilidad</v>
          </cell>
          <cell r="G260">
            <v>2026</v>
          </cell>
          <cell r="I260" t="str">
            <v>Nathaly Allcca</v>
          </cell>
          <cell r="J260" t="str">
            <v>Cancelado</v>
          </cell>
          <cell r="K260">
            <v>46035</v>
          </cell>
        </row>
        <row r="261">
          <cell r="B261" t="str">
            <v>TX_CRA2026_91</v>
          </cell>
          <cell r="C261" t="str">
            <v>0100375_LM_Ancon to 010251017_LM_Villa_Alvarado</v>
          </cell>
          <cell r="D261" t="str">
            <v>M0825</v>
          </cell>
          <cell r="E261" t="str">
            <v>CRA MOVIL ADELANTO Q1 2026</v>
          </cell>
          <cell r="F261" t="str">
            <v>Vulnerabilidad</v>
          </cell>
          <cell r="G261">
            <v>2026</v>
          </cell>
          <cell r="I261" t="str">
            <v>Nathaly Allcca</v>
          </cell>
          <cell r="J261" t="str">
            <v>En Proceso</v>
          </cell>
          <cell r="K261">
            <v>46035</v>
          </cell>
        </row>
        <row r="262">
          <cell r="B262" t="str">
            <v>TX_CRA2026_92</v>
          </cell>
          <cell r="C262" t="str">
            <v>0100064_LM_Bolognesi to 0105929_LM_El_Point</v>
          </cell>
          <cell r="D262" t="str">
            <v>M0825</v>
          </cell>
          <cell r="E262" t="str">
            <v>CRA MOVIL ADELANTO Q1 2026</v>
          </cell>
          <cell r="F262" t="str">
            <v>Vulnerabilidad</v>
          </cell>
          <cell r="G262">
            <v>2026</v>
          </cell>
          <cell r="I262" t="str">
            <v>Nathaly Allcca</v>
          </cell>
          <cell r="J262" t="str">
            <v>Cancelado</v>
          </cell>
          <cell r="K262">
            <v>46035</v>
          </cell>
        </row>
        <row r="263">
          <cell r="B263" t="str">
            <v>TX_CRA2026_93</v>
          </cell>
          <cell r="C263" t="str">
            <v>0105904_LM_Marsella_Tobago to 0105004_LM_Parque_Marquez</v>
          </cell>
          <cell r="D263" t="str">
            <v>M0825</v>
          </cell>
          <cell r="E263" t="str">
            <v>CRA MOVIL ADELANTO Q1 2026</v>
          </cell>
          <cell r="F263" t="str">
            <v>Vulnerabilidad</v>
          </cell>
          <cell r="G263">
            <v>2026</v>
          </cell>
          <cell r="I263" t="str">
            <v>Nathaly Allcca</v>
          </cell>
          <cell r="J263" t="str">
            <v>En Proceso</v>
          </cell>
          <cell r="K263">
            <v>46035</v>
          </cell>
        </row>
        <row r="264">
          <cell r="B264" t="str">
            <v>TX_CRA2026_94</v>
          </cell>
          <cell r="C264" t="str">
            <v>010252274_LM_Valle_Sharon_R1 to 0106075_LM_Umamarca</v>
          </cell>
          <cell r="D264" t="str">
            <v>M0825</v>
          </cell>
          <cell r="E264" t="str">
            <v>CRA MOVIL ADELANTO Q1 2026</v>
          </cell>
          <cell r="F264" t="str">
            <v>Vulnerabilidad</v>
          </cell>
          <cell r="G264">
            <v>2026</v>
          </cell>
          <cell r="I264" t="str">
            <v>Nathaly Allcca</v>
          </cell>
          <cell r="J264" t="str">
            <v>Activado</v>
          </cell>
          <cell r="K264">
            <v>46035</v>
          </cell>
        </row>
        <row r="265">
          <cell r="B265" t="str">
            <v>TX_CRA2026_95</v>
          </cell>
          <cell r="C265" t="str">
            <v>0100039_LM_Abancay to 0105729_LM_Buenamuerte</v>
          </cell>
          <cell r="D265" t="str">
            <v>M0825</v>
          </cell>
          <cell r="E265" t="str">
            <v>CRA MOVIL ADELANTO Q1 2026</v>
          </cell>
          <cell r="F265" t="str">
            <v>Vulnerabilidad</v>
          </cell>
          <cell r="G265">
            <v>2026</v>
          </cell>
          <cell r="I265" t="str">
            <v>Nathaly Allcca</v>
          </cell>
          <cell r="J265" t="str">
            <v>No RFI</v>
          </cell>
          <cell r="K265">
            <v>46035</v>
          </cell>
        </row>
        <row r="266">
          <cell r="B266" t="str">
            <v>TX_CRA2026_96</v>
          </cell>
          <cell r="C266" t="str">
            <v>0100142_LM_Caja_de_Agua to 0105763_LM_Rio_Rimac</v>
          </cell>
          <cell r="D266" t="str">
            <v>M0825</v>
          </cell>
          <cell r="E266" t="str">
            <v>CRA MOVIL ADELANTO Q1 2026</v>
          </cell>
          <cell r="F266" t="str">
            <v>Vulnerabilidad</v>
          </cell>
          <cell r="G266">
            <v>2026</v>
          </cell>
          <cell r="I266" t="str">
            <v>Nathaly Allcca</v>
          </cell>
          <cell r="J266" t="str">
            <v>En Proceso</v>
          </cell>
          <cell r="K266">
            <v>46035</v>
          </cell>
        </row>
        <row r="267">
          <cell r="B267" t="str">
            <v>TX_CRA2026_97</v>
          </cell>
          <cell r="C267" t="str">
            <v>0105657_LM_Central_Independenc to 0105477_LM_Terminal_Fiori</v>
          </cell>
          <cell r="D267" t="str">
            <v>M0825</v>
          </cell>
          <cell r="E267" t="str">
            <v>CRA MOVIL ADELANTO Q1 2026</v>
          </cell>
          <cell r="F267" t="str">
            <v>Vulnerabilidad</v>
          </cell>
          <cell r="G267">
            <v>2026</v>
          </cell>
          <cell r="I267" t="str">
            <v>Nathaly Allcca</v>
          </cell>
          <cell r="J267" t="str">
            <v>En Proceso</v>
          </cell>
          <cell r="K267">
            <v>46035</v>
          </cell>
        </row>
        <row r="268">
          <cell r="B268" t="str">
            <v>TX_CRA2026_98</v>
          </cell>
          <cell r="C268" t="str">
            <v>0100095_LM_Bella_Union to 0102161_LM_Alcedo_Bellido</v>
          </cell>
          <cell r="D268" t="str">
            <v>M0825</v>
          </cell>
          <cell r="E268" t="str">
            <v>CRA MOVIL ADELANTO Q1 2026</v>
          </cell>
          <cell r="F268" t="str">
            <v>Vulnerabilidad</v>
          </cell>
          <cell r="G268">
            <v>2026</v>
          </cell>
          <cell r="I268" t="str">
            <v>Nathaly Allcca</v>
          </cell>
          <cell r="J268" t="str">
            <v>En Proceso</v>
          </cell>
          <cell r="K268">
            <v>46035</v>
          </cell>
        </row>
        <row r="269">
          <cell r="B269" t="str">
            <v>TX_CRA2026_99</v>
          </cell>
          <cell r="C269" t="str">
            <v>0100232_LM_Rivadavia to 0105620_LM_Los_Portales_Ate</v>
          </cell>
          <cell r="D269" t="str">
            <v>M0825</v>
          </cell>
          <cell r="E269" t="str">
            <v>CRA MOVIL ADELANTO Q1 2026</v>
          </cell>
          <cell r="F269" t="str">
            <v>Vulnerabilidad</v>
          </cell>
          <cell r="G269">
            <v>2026</v>
          </cell>
          <cell r="I269" t="str">
            <v>Nathaly Allcca</v>
          </cell>
          <cell r="J269" t="str">
            <v>En Proceso</v>
          </cell>
          <cell r="K269">
            <v>46035</v>
          </cell>
        </row>
        <row r="270">
          <cell r="B270" t="str">
            <v>TX_CRA2026_100</v>
          </cell>
          <cell r="C270" t="str">
            <v>0105517_LM_Rio_Vilcanota to 010251053_LM_Rio_Capillome</v>
          </cell>
          <cell r="D270" t="str">
            <v>M0825</v>
          </cell>
          <cell r="E270" t="str">
            <v>CRA MOVIL ADELANTO Q1 2026</v>
          </cell>
          <cell r="F270" t="str">
            <v>Vulnerabilidad</v>
          </cell>
          <cell r="G270">
            <v>2026</v>
          </cell>
          <cell r="I270" t="str">
            <v>Nathaly Allcca</v>
          </cell>
          <cell r="J270" t="str">
            <v>Activado</v>
          </cell>
          <cell r="K270">
            <v>46035</v>
          </cell>
        </row>
        <row r="271">
          <cell r="B271" t="str">
            <v>TX_CRA2026_101</v>
          </cell>
          <cell r="C271" t="str">
            <v>0100463_LM_PanNorte_Km33 to 0104736_LM_Fiscalia_Pte_Piedra</v>
          </cell>
          <cell r="D271" t="str">
            <v>M0825</v>
          </cell>
          <cell r="E271" t="str">
            <v>CRA MOVIL ADELANTO Q1 2026</v>
          </cell>
          <cell r="F271" t="str">
            <v>Vulnerabilidad</v>
          </cell>
          <cell r="G271">
            <v>2026</v>
          </cell>
          <cell r="I271" t="str">
            <v>Nathaly Allcca</v>
          </cell>
          <cell r="J271" t="str">
            <v>En Proceso</v>
          </cell>
          <cell r="K271">
            <v>46035</v>
          </cell>
        </row>
        <row r="272">
          <cell r="B272" t="str">
            <v>TX_CRA2026_102</v>
          </cell>
          <cell r="C272" t="str">
            <v>0100459_LM_Rosa_de_America to 0102179_LM_Parking_UCV</v>
          </cell>
          <cell r="D272" t="str">
            <v>M0825</v>
          </cell>
          <cell r="E272" t="str">
            <v>CRA MOVIL ADELANTO Q1 2026</v>
          </cell>
          <cell r="F272" t="str">
            <v>Vulnerabilidad</v>
          </cell>
          <cell r="G272">
            <v>2026</v>
          </cell>
          <cell r="I272" t="str">
            <v>Nathaly Allcca</v>
          </cell>
          <cell r="J272" t="str">
            <v>En Proceso</v>
          </cell>
          <cell r="K272">
            <v>46035</v>
          </cell>
        </row>
        <row r="273">
          <cell r="B273" t="str">
            <v>TX_CRA2026_103</v>
          </cell>
          <cell r="C273" t="str">
            <v>0100380_LM_Huacho to 0105706_LM_Uni_Sanchez_Carrion</v>
          </cell>
          <cell r="D273" t="str">
            <v>M0825</v>
          </cell>
          <cell r="E273" t="str">
            <v>CRA MOVIL ADELANTO Q1 2026</v>
          </cell>
          <cell r="F273" t="str">
            <v>Vulnerabilidad</v>
          </cell>
          <cell r="G273">
            <v>2026</v>
          </cell>
          <cell r="I273" t="str">
            <v>Nathaly Allcca</v>
          </cell>
          <cell r="J273" t="str">
            <v>Con RQ</v>
          </cell>
          <cell r="K273">
            <v>46035</v>
          </cell>
        </row>
        <row r="274">
          <cell r="B274" t="str">
            <v>TX_CRA2026_104</v>
          </cell>
          <cell r="C274" t="str">
            <v>0100478_LM_Tiahuanaco to 0103870_LM_Parque_Carabayllo_R1</v>
          </cell>
          <cell r="D274" t="str">
            <v>M0825</v>
          </cell>
          <cell r="E274" t="str">
            <v>CRA MOVIL ADELANTO Q1 2026</v>
          </cell>
          <cell r="F274" t="str">
            <v>Vulnerabilidad</v>
          </cell>
          <cell r="G274">
            <v>2026</v>
          </cell>
          <cell r="I274" t="str">
            <v>Nathaly Allcca</v>
          </cell>
          <cell r="J274" t="str">
            <v>En Proceso</v>
          </cell>
          <cell r="K274">
            <v>46035</v>
          </cell>
        </row>
        <row r="275">
          <cell r="B275" t="str">
            <v>TX_CRA2026_105</v>
          </cell>
          <cell r="C275" t="str">
            <v>0100071_LM_Las_Lilas to 0100052_LM_San_Agustin</v>
          </cell>
          <cell r="D275" t="str">
            <v>M0825</v>
          </cell>
          <cell r="E275" t="str">
            <v>CRA MOVIL ADELANTO Q1 2026</v>
          </cell>
          <cell r="F275" t="str">
            <v>Vulnerabilidad</v>
          </cell>
          <cell r="G275">
            <v>2026</v>
          </cell>
          <cell r="I275" t="str">
            <v>Nathaly Allcca</v>
          </cell>
          <cell r="J275" t="str">
            <v>En Proceso</v>
          </cell>
          <cell r="K275">
            <v>46035</v>
          </cell>
        </row>
        <row r="276">
          <cell r="B276" t="str">
            <v>TX_CRA2026_106</v>
          </cell>
          <cell r="C276" t="str">
            <v>0100136_LM_Bolivia to 0100240_LM_Tingo_Maria</v>
          </cell>
          <cell r="D276" t="str">
            <v>M0825</v>
          </cell>
          <cell r="E276" t="str">
            <v>CRA MOVIL ADELANTO Q1 2026</v>
          </cell>
          <cell r="F276" t="str">
            <v>Vulnerabilidad</v>
          </cell>
          <cell r="G276">
            <v>2026</v>
          </cell>
          <cell r="I276" t="str">
            <v>Nathaly Allcca</v>
          </cell>
          <cell r="J276" t="str">
            <v>En Proceso</v>
          </cell>
          <cell r="K276">
            <v>46035</v>
          </cell>
        </row>
        <row r="277">
          <cell r="B277" t="str">
            <v>TX_CRA2026_107</v>
          </cell>
          <cell r="C277" t="str">
            <v>0100002_LM_Nuevo_Comas to 0100534_LM_Parque_Salpo</v>
          </cell>
          <cell r="D277" t="str">
            <v>M0825</v>
          </cell>
          <cell r="E277" t="str">
            <v>CRA MOVIL ADELANTO Q1 2026</v>
          </cell>
          <cell r="F277" t="str">
            <v>Vulnerabilidad</v>
          </cell>
          <cell r="G277">
            <v>2026</v>
          </cell>
          <cell r="I277" t="str">
            <v>Nathaly Allcca</v>
          </cell>
          <cell r="J277" t="str">
            <v>En Proceso</v>
          </cell>
          <cell r="K277">
            <v>46035</v>
          </cell>
        </row>
        <row r="278">
          <cell r="B278" t="str">
            <v>TX_CRA2026_108</v>
          </cell>
          <cell r="C278" t="str">
            <v>0100176_LM_Huanuco to 0105938_LM_Tren_De_Gamarra</v>
          </cell>
          <cell r="D278" t="str">
            <v>M0825</v>
          </cell>
          <cell r="E278" t="str">
            <v>CRA MOVIL ADELANTO Q1 2026</v>
          </cell>
          <cell r="F278" t="str">
            <v>Vulnerabilidad</v>
          </cell>
          <cell r="G278">
            <v>2026</v>
          </cell>
          <cell r="I278" t="str">
            <v>Nathaly Allcca</v>
          </cell>
          <cell r="J278" t="str">
            <v>En Proceso</v>
          </cell>
          <cell r="K278">
            <v>46035</v>
          </cell>
        </row>
        <row r="279">
          <cell r="B279" t="str">
            <v>TX_CRA2026_109</v>
          </cell>
          <cell r="C279" t="str">
            <v>0101215_TA_Gamboa to 0101283_TA_Terminal_Coyasullo</v>
          </cell>
          <cell r="D279" t="str">
            <v>M0825</v>
          </cell>
          <cell r="E279" t="str">
            <v>CRA MOVIL ADELANTO Q1 2026</v>
          </cell>
          <cell r="F279" t="str">
            <v>Vulnerabilidad</v>
          </cell>
          <cell r="G279">
            <v>2026</v>
          </cell>
          <cell r="I279" t="str">
            <v>Nathaly Allcca</v>
          </cell>
          <cell r="J279" t="str">
            <v>En Proceso</v>
          </cell>
          <cell r="K279">
            <v>46035</v>
          </cell>
        </row>
        <row r="280">
          <cell r="B280" t="str">
            <v>TX_CRA2026_110</v>
          </cell>
          <cell r="C280" t="str">
            <v>0100903_AQ_El_Palomar to 010140090_AQ_Fundo_Peral</v>
          </cell>
          <cell r="D280" t="str">
            <v>M0825</v>
          </cell>
          <cell r="E280" t="str">
            <v>CRA MOVIL ADELANTO Q1 2026</v>
          </cell>
          <cell r="F280" t="str">
            <v>Vulnerabilidad</v>
          </cell>
          <cell r="G280">
            <v>2026</v>
          </cell>
          <cell r="I280" t="str">
            <v>Nathaly Allcca</v>
          </cell>
          <cell r="J280" t="str">
            <v>No RFI</v>
          </cell>
          <cell r="K280">
            <v>46035</v>
          </cell>
        </row>
        <row r="281">
          <cell r="B281" t="str">
            <v>TX_CRA2026_111</v>
          </cell>
          <cell r="C281" t="str">
            <v>0100006_LM_Colon to 0100206_LM_Enapu</v>
          </cell>
          <cell r="D281" t="str">
            <v>M0825</v>
          </cell>
          <cell r="E281" t="str">
            <v>CRA MOVIL ADELANTO Q1 2026</v>
          </cell>
          <cell r="F281" t="str">
            <v>Vulnerabilidad</v>
          </cell>
          <cell r="G281">
            <v>2026</v>
          </cell>
          <cell r="I281" t="str">
            <v>Nathaly Allcca</v>
          </cell>
          <cell r="J281" t="str">
            <v>En Proceso</v>
          </cell>
          <cell r="K281">
            <v>46035</v>
          </cell>
        </row>
        <row r="282">
          <cell r="B282" t="str">
            <v>TX_CRA2026_112</v>
          </cell>
          <cell r="C282" t="str">
            <v>0100616_LI_Chepen to 0104176_LI_Chepen_Centro</v>
          </cell>
          <cell r="D282" t="str">
            <v>M0825</v>
          </cell>
          <cell r="E282" t="str">
            <v>CRA MOVIL ADELANTO Q1 2026</v>
          </cell>
          <cell r="F282" t="str">
            <v>Vulnerabilidad</v>
          </cell>
          <cell r="G282">
            <v>2026</v>
          </cell>
          <cell r="I282" t="str">
            <v>Nathaly Allcca</v>
          </cell>
          <cell r="J282" t="str">
            <v>No RFI</v>
          </cell>
          <cell r="K282">
            <v>46035</v>
          </cell>
        </row>
        <row r="283">
          <cell r="B283" t="str">
            <v>TX_CRA2026_113</v>
          </cell>
          <cell r="C283" t="str">
            <v>0100546_LM_Huertos_De_Manchay to 0104062_LM_COW_VMT</v>
          </cell>
          <cell r="D283" t="str">
            <v>M0825</v>
          </cell>
          <cell r="E283" t="str">
            <v>CRA MOVIL ADELANTO Q1 2026</v>
          </cell>
          <cell r="F283" t="str">
            <v>Vulnerabilidad</v>
          </cell>
          <cell r="G283">
            <v>2026</v>
          </cell>
          <cell r="I283" t="str">
            <v>Nathaly Allcca</v>
          </cell>
          <cell r="J283" t="str">
            <v>En Proceso</v>
          </cell>
          <cell r="K283">
            <v>46035</v>
          </cell>
        </row>
        <row r="284">
          <cell r="B284" t="str">
            <v>TX_CRA2026_114</v>
          </cell>
          <cell r="C284" t="str">
            <v>0100342_LM_Los_Proceres to 010252429_LM_22_de_Agosto_R1</v>
          </cell>
          <cell r="D284" t="str">
            <v>M0825</v>
          </cell>
          <cell r="E284" t="str">
            <v>CRA MOVIL ADELANTO Q1 2026</v>
          </cell>
          <cell r="F284" t="str">
            <v>Vulnerabilidad</v>
          </cell>
          <cell r="G284">
            <v>2026</v>
          </cell>
          <cell r="I284" t="str">
            <v>Nathaly Allcca</v>
          </cell>
          <cell r="J284" t="str">
            <v>En Proceso</v>
          </cell>
          <cell r="K284">
            <v>46035</v>
          </cell>
        </row>
        <row r="285">
          <cell r="B285" t="str">
            <v>TX_CRA2026_115</v>
          </cell>
          <cell r="C285" t="str">
            <v>0105840_LM_Hacienda_San_Juan to 0100187_LM_La_Virreyna</v>
          </cell>
          <cell r="D285" t="str">
            <v>M0825</v>
          </cell>
          <cell r="E285" t="str">
            <v>CRA MOVIL ADELANTO Q1 2026</v>
          </cell>
          <cell r="F285" t="str">
            <v>Vulnerabilidad</v>
          </cell>
          <cell r="G285">
            <v>2026</v>
          </cell>
          <cell r="I285" t="str">
            <v>Nathaly Allcca</v>
          </cell>
          <cell r="J285" t="str">
            <v>En Proceso</v>
          </cell>
          <cell r="K285">
            <v>46035</v>
          </cell>
        </row>
        <row r="286">
          <cell r="B286" t="str">
            <v>TX_CRA2026_116</v>
          </cell>
          <cell r="C286" t="str">
            <v>0106061_LM_Oropendolas to 0106418_LM_IB_Clinica_lnt_S_Bor</v>
          </cell>
          <cell r="D286" t="str">
            <v>M0825</v>
          </cell>
          <cell r="E286" t="str">
            <v>CRA MOVIL ADELANTO Q1 2026</v>
          </cell>
          <cell r="F286" t="str">
            <v>Vulnerabilidad</v>
          </cell>
          <cell r="G286">
            <v>2026</v>
          </cell>
          <cell r="I286" t="str">
            <v>Nathaly Allcca</v>
          </cell>
          <cell r="J286" t="str">
            <v>En Proceso</v>
          </cell>
          <cell r="K286">
            <v>46035</v>
          </cell>
        </row>
        <row r="287">
          <cell r="B287" t="str">
            <v>TX_CRA2026_117</v>
          </cell>
          <cell r="C287" t="str">
            <v>0100905_AQ_Villa_Dolores to 0103822_AQ_El_Porvenir_Aqp</v>
          </cell>
          <cell r="D287" t="str">
            <v>M0825</v>
          </cell>
          <cell r="E287" t="str">
            <v>CRA MOVIL ADELANTO Q1 2026</v>
          </cell>
          <cell r="F287" t="str">
            <v>Vulnerabilidad</v>
          </cell>
          <cell r="G287">
            <v>2026</v>
          </cell>
          <cell r="I287" t="str">
            <v>Nathaly Allcca</v>
          </cell>
          <cell r="J287" t="str">
            <v>No RFI</v>
          </cell>
          <cell r="K287">
            <v>46035</v>
          </cell>
        </row>
        <row r="288">
          <cell r="B288" t="str">
            <v>TX_CRA2026_118</v>
          </cell>
          <cell r="C288" t="str">
            <v>0100606_LI_El_Alambre to 0104137_LI_Razuri_Trujillo</v>
          </cell>
          <cell r="D288" t="str">
            <v>M0825</v>
          </cell>
          <cell r="E288" t="str">
            <v>CRA MOVIL ADELANTO Q1 2026</v>
          </cell>
          <cell r="F288" t="str">
            <v>Vulnerabilidad</v>
          </cell>
          <cell r="G288">
            <v>2026</v>
          </cell>
          <cell r="I288" t="str">
            <v>Nathaly Allcca</v>
          </cell>
          <cell r="J288" t="str">
            <v>En Proceso</v>
          </cell>
          <cell r="K288">
            <v>46035</v>
          </cell>
        </row>
        <row r="289">
          <cell r="B289" t="str">
            <v>TX_CRA2026_119</v>
          </cell>
          <cell r="C289" t="str">
            <v>0100377_LM_Huaral to 010251920_LM_LosNaturales</v>
          </cell>
          <cell r="D289" t="str">
            <v>M0825</v>
          </cell>
          <cell r="E289" t="str">
            <v>CRA MOVIL ADELANTO Q1 2026</v>
          </cell>
          <cell r="F289" t="str">
            <v>Vulnerabilidad</v>
          </cell>
          <cell r="G289">
            <v>2026</v>
          </cell>
          <cell r="I289" t="str">
            <v>Nathaly Allcca</v>
          </cell>
          <cell r="J289" t="str">
            <v>En Proceso</v>
          </cell>
          <cell r="K289">
            <v>46035</v>
          </cell>
        </row>
        <row r="290">
          <cell r="B290" t="str">
            <v>TX_CRA2026_120</v>
          </cell>
          <cell r="C290" t="str">
            <v>0102182_LM_Cayetano_Heredia_0100490_LM_UNI</v>
          </cell>
          <cell r="D290" t="str">
            <v>M0825</v>
          </cell>
          <cell r="E290" t="str">
            <v>CRA MOVIL ADELANTO Q1 2026</v>
          </cell>
          <cell r="F290" t="str">
            <v>Vulnerabilidad</v>
          </cell>
          <cell r="G290">
            <v>2026</v>
          </cell>
          <cell r="I290" t="str">
            <v>Nathaly Allcca</v>
          </cell>
          <cell r="J290" t="str">
            <v>Activado</v>
          </cell>
          <cell r="K290">
            <v>46035</v>
          </cell>
        </row>
        <row r="291">
          <cell r="B291" t="str">
            <v>TX_CRA2026_121</v>
          </cell>
          <cell r="C291" t="str">
            <v>0105481_LM_Javier_Luna_Pizarro_0100540_LM_Repetidor_La_Milla</v>
          </cell>
          <cell r="D291" t="str">
            <v>M0825</v>
          </cell>
          <cell r="E291" t="str">
            <v>CRA MOVIL ADELANTO Q1 2026</v>
          </cell>
          <cell r="F291" t="str">
            <v>Vulnerabilidad</v>
          </cell>
          <cell r="G291">
            <v>2026</v>
          </cell>
          <cell r="I291" t="str">
            <v>Nathaly Allcca</v>
          </cell>
          <cell r="J291" t="str">
            <v>Activado</v>
          </cell>
          <cell r="K291">
            <v>46035</v>
          </cell>
        </row>
        <row r="292">
          <cell r="B292" t="str">
            <v>TX_CRA2026_122</v>
          </cell>
          <cell r="C292" t="str">
            <v>0100494_LM_Riva_Aguero to 0100239_LM_El_Agustino</v>
          </cell>
          <cell r="D292" t="str">
            <v>M0825</v>
          </cell>
          <cell r="E292" t="str">
            <v>CRA MOVIL ADELANTO Q1 2026</v>
          </cell>
          <cell r="F292" t="str">
            <v>Vulnerabilidad</v>
          </cell>
          <cell r="G292">
            <v>2026</v>
          </cell>
          <cell r="I292" t="str">
            <v>Nathaly Allcca</v>
          </cell>
          <cell r="J292" t="str">
            <v>En Proceso</v>
          </cell>
          <cell r="K292">
            <v>46035</v>
          </cell>
        </row>
        <row r="293">
          <cell r="B293" t="str">
            <v>TX_CRA2026_123</v>
          </cell>
          <cell r="C293" t="str">
            <v>0100343_LM_Micaela_Bastida_0100002_LM_Nuevo_Comas</v>
          </cell>
          <cell r="D293" t="str">
            <v>M0825</v>
          </cell>
          <cell r="E293" t="str">
            <v>CRA MOVIL ADELANTO Q1 2026</v>
          </cell>
          <cell r="F293" t="str">
            <v>Vulnerabilidad</v>
          </cell>
          <cell r="G293">
            <v>2026</v>
          </cell>
          <cell r="I293" t="str">
            <v>Nathaly Allcca</v>
          </cell>
          <cell r="J293" t="str">
            <v>En Proceso</v>
          </cell>
          <cell r="K293">
            <v>46035</v>
          </cell>
        </row>
        <row r="294">
          <cell r="B294" t="str">
            <v>TX_CRA2026_124</v>
          </cell>
          <cell r="C294" t="str">
            <v>0101747_PI_Integracion_0101704_PI_Piura_Centro</v>
          </cell>
          <cell r="D294" t="str">
            <v>M0825</v>
          </cell>
          <cell r="E294" t="str">
            <v>CRA MOVIL ADELANTO Q1 2026</v>
          </cell>
          <cell r="F294" t="str">
            <v>Vulnerabilidad</v>
          </cell>
          <cell r="G294">
            <v>2026</v>
          </cell>
          <cell r="I294" t="str">
            <v>Nathaly Allcca</v>
          </cell>
          <cell r="J294" t="str">
            <v>Activado</v>
          </cell>
          <cell r="K294">
            <v>46035</v>
          </cell>
        </row>
        <row r="295">
          <cell r="B295" t="str">
            <v>TX_CRA2026_125</v>
          </cell>
          <cell r="C295" t="str">
            <v>0105056_LM_Pastor_Sevilla_0100038_LM_Villa_Salvador</v>
          </cell>
          <cell r="D295" t="str">
            <v>M0825</v>
          </cell>
          <cell r="E295" t="str">
            <v>CRA MOVIL ADELANTO Q1 2026</v>
          </cell>
          <cell r="F295" t="str">
            <v>Vulnerabilidad</v>
          </cell>
          <cell r="G295">
            <v>2026</v>
          </cell>
          <cell r="I295" t="str">
            <v>Nathaly Allcca</v>
          </cell>
          <cell r="J295" t="str">
            <v>En Proceso</v>
          </cell>
          <cell r="K295">
            <v>46035</v>
          </cell>
        </row>
        <row r="296">
          <cell r="B296" t="str">
            <v>TX_CRA2026_126</v>
          </cell>
          <cell r="C296" t="str">
            <v>0100293_LM_CC_Chacarilla_0100027_LM_San_Luis</v>
          </cell>
          <cell r="D296" t="str">
            <v>M0825</v>
          </cell>
          <cell r="E296" t="str">
            <v>CRA MOVIL ADELANTO Q1 2026</v>
          </cell>
          <cell r="F296" t="str">
            <v>Vulnerabilidad</v>
          </cell>
          <cell r="G296">
            <v>2026</v>
          </cell>
          <cell r="I296" t="str">
            <v>Nathaly Allcca</v>
          </cell>
          <cell r="J296" t="str">
            <v>No RFI</v>
          </cell>
          <cell r="K296">
            <v>46035</v>
          </cell>
        </row>
        <row r="297">
          <cell r="B297" t="str">
            <v>TX_CRA2026_127</v>
          </cell>
          <cell r="C297" t="str">
            <v>0104172_LI_General_Astoy_0100607_LI_Husares_de_Junin</v>
          </cell>
          <cell r="D297" t="str">
            <v>M0825</v>
          </cell>
          <cell r="E297" t="str">
            <v>CRA MOVIL ADELANTO Q1 2026</v>
          </cell>
          <cell r="F297" t="str">
            <v>Vulnerabilidad</v>
          </cell>
          <cell r="G297">
            <v>2026</v>
          </cell>
          <cell r="I297" t="str">
            <v>Nathaly Allcca</v>
          </cell>
          <cell r="J297" t="str">
            <v>No RFI</v>
          </cell>
          <cell r="K297">
            <v>46035</v>
          </cell>
        </row>
        <row r="298">
          <cell r="B298" t="str">
            <v>TX_CRA2026_128</v>
          </cell>
          <cell r="C298" t="str">
            <v>0106485_PN_IB_Aerop_Juliaca_0101406_PN_Juliaca_Cerro</v>
          </cell>
          <cell r="D298" t="str">
            <v>M0825</v>
          </cell>
          <cell r="E298" t="str">
            <v>CRA MOVIL ADELANTO Q1 2026</v>
          </cell>
          <cell r="F298" t="str">
            <v>Vulnerabilidad</v>
          </cell>
          <cell r="G298">
            <v>2026</v>
          </cell>
          <cell r="I298" t="str">
            <v>Nathaly Allcca</v>
          </cell>
          <cell r="J298" t="str">
            <v>No RFI</v>
          </cell>
          <cell r="K298">
            <v>46035</v>
          </cell>
        </row>
        <row r="299">
          <cell r="B299" t="str">
            <v>TX_CRA2026_129</v>
          </cell>
          <cell r="C299" t="str">
            <v>0103708_AY_Reservorios_De_Ayac_0103706_AY_Las_Maravillas</v>
          </cell>
          <cell r="D299" t="str">
            <v>M0825</v>
          </cell>
          <cell r="E299" t="str">
            <v>CRA MOVIL ADELANTO Q1 2026</v>
          </cell>
          <cell r="F299" t="str">
            <v>Vulnerabilidad</v>
          </cell>
          <cell r="G299">
            <v>2026</v>
          </cell>
          <cell r="I299" t="str">
            <v>Nathaly Allcca</v>
          </cell>
          <cell r="J299" t="str">
            <v>No RFI</v>
          </cell>
          <cell r="K299">
            <v>46035</v>
          </cell>
        </row>
        <row r="300">
          <cell r="B300" t="str">
            <v>TX_CRA2026_130</v>
          </cell>
          <cell r="C300" t="str">
            <v>0105712_LM_Nueva_Victoria_0100380_LM_Huacho</v>
          </cell>
          <cell r="D300" t="str">
            <v>M0825</v>
          </cell>
          <cell r="E300" t="str">
            <v>CRA MOVIL ADELANTO Q1 2026</v>
          </cell>
          <cell r="F300" t="str">
            <v>Vulnerabilidad</v>
          </cell>
          <cell r="G300">
            <v>2026</v>
          </cell>
          <cell r="I300" t="str">
            <v>Nathaly Allcca</v>
          </cell>
          <cell r="J300" t="str">
            <v>No RFI</v>
          </cell>
          <cell r="K300">
            <v>46035</v>
          </cell>
        </row>
        <row r="301">
          <cell r="B301" t="str">
            <v>TX_CRA2026_131</v>
          </cell>
          <cell r="C301" t="str">
            <v>010312653_PN_Puente_Ramis_0101406_PN_Juliaca_Cerro</v>
          </cell>
          <cell r="D301" t="str">
            <v>M0825</v>
          </cell>
          <cell r="E301" t="str">
            <v>CRA MOVIL ADELANTO Q1 2026</v>
          </cell>
          <cell r="F301" t="str">
            <v>Vulnerabilidad</v>
          </cell>
          <cell r="G301">
            <v>2026</v>
          </cell>
          <cell r="I301" t="str">
            <v>Nathaly Allcca</v>
          </cell>
          <cell r="J301" t="str">
            <v>No RFI</v>
          </cell>
          <cell r="K301">
            <v>46035</v>
          </cell>
        </row>
        <row r="302">
          <cell r="B302" t="str">
            <v>TX_CRA2026_132</v>
          </cell>
          <cell r="C302" t="str">
            <v>0100683_LM_Trebol_Caqueta_0101149_LM_Nuevo_Caqueta</v>
          </cell>
          <cell r="D302" t="str">
            <v>M0825</v>
          </cell>
          <cell r="E302" t="str">
            <v>CRA MOVIL ADELANTO Q1 2026</v>
          </cell>
          <cell r="F302" t="str">
            <v>Vulnerabilidad</v>
          </cell>
          <cell r="G302">
            <v>2026</v>
          </cell>
          <cell r="I302" t="str">
            <v>Nathaly Allcca</v>
          </cell>
          <cell r="J302" t="str">
            <v>No RFI</v>
          </cell>
          <cell r="K302">
            <v>46035</v>
          </cell>
        </row>
        <row r="303">
          <cell r="B303" t="str">
            <v>TX_CRA2026_133</v>
          </cell>
          <cell r="C303" t="str">
            <v>010171456_LM_Torre2_LAP_010170808_LM_Ransa_R1</v>
          </cell>
          <cell r="D303" t="str">
            <v>M0825</v>
          </cell>
          <cell r="E303" t="str">
            <v>CRA MOVIL ADELANTO Q1 2026</v>
          </cell>
          <cell r="F303" t="str">
            <v>Vulnerabilidad</v>
          </cell>
          <cell r="G303">
            <v>2026</v>
          </cell>
          <cell r="I303" t="str">
            <v>Nathaly Allcca</v>
          </cell>
          <cell r="J303" t="str">
            <v>No RFI</v>
          </cell>
          <cell r="K303">
            <v>46035</v>
          </cell>
        </row>
        <row r="304">
          <cell r="B304" t="str">
            <v>TX_CRA2026_134</v>
          </cell>
          <cell r="C304" t="str">
            <v>0101029_LA_Santa_Rosa_Lamb_0101023_LA_Monsefu</v>
          </cell>
          <cell r="D304" t="str">
            <v>M0825</v>
          </cell>
          <cell r="E304" t="str">
            <v>CRA MOVIL ADELANTO Q1 2026</v>
          </cell>
          <cell r="F304" t="str">
            <v>Vulnerabilidad</v>
          </cell>
          <cell r="G304">
            <v>2026</v>
          </cell>
          <cell r="I304" t="str">
            <v>Nathaly Allcca</v>
          </cell>
          <cell r="J304" t="str">
            <v>No RFI</v>
          </cell>
          <cell r="K304">
            <v>46035</v>
          </cell>
        </row>
        <row r="305">
          <cell r="B305" t="str">
            <v>TX_CRA2026_135</v>
          </cell>
          <cell r="C305" t="str">
            <v>010140253_AQ_Queso_Helado_0100901_AQ_Arequipa_Centro</v>
          </cell>
          <cell r="D305" t="str">
            <v>M0825</v>
          </cell>
          <cell r="E305" t="str">
            <v>CRA MOVIL ADELANTO Q1 2026</v>
          </cell>
          <cell r="F305" t="str">
            <v>Vulnerabilidad</v>
          </cell>
          <cell r="G305">
            <v>2026</v>
          </cell>
          <cell r="I305" t="str">
            <v>Nathaly Allcca</v>
          </cell>
          <cell r="J305" t="str">
            <v>No RFI</v>
          </cell>
          <cell r="K305">
            <v>46035</v>
          </cell>
        </row>
        <row r="306">
          <cell r="B306" t="str">
            <v>TX_CRA2026_136</v>
          </cell>
          <cell r="C306" t="str">
            <v>0100693_LI_Chicago_0100607_LI_Husares_de_Junin</v>
          </cell>
          <cell r="D306" t="str">
            <v>M0825</v>
          </cell>
          <cell r="E306" t="str">
            <v>CRA MOVIL ADELANTO Q1 2026</v>
          </cell>
          <cell r="F306" t="str">
            <v>Vulnerabilidad</v>
          </cell>
          <cell r="G306">
            <v>2026</v>
          </cell>
          <cell r="I306" t="str">
            <v>Nathaly Allcca</v>
          </cell>
          <cell r="J306" t="str">
            <v>No RFI</v>
          </cell>
          <cell r="K306">
            <v>46035</v>
          </cell>
        </row>
        <row r="307">
          <cell r="B307" t="str">
            <v>TX_CRA2026_137</v>
          </cell>
          <cell r="C307" t="str">
            <v>0102867_LM_HB_Dante_AMT_0100068_LM_Caceres</v>
          </cell>
          <cell r="D307" t="str">
            <v>M0825</v>
          </cell>
          <cell r="E307" t="str">
            <v>CRA MOVIL ADELANTO Q1 2026</v>
          </cell>
          <cell r="F307" t="str">
            <v>Vulnerabilidad</v>
          </cell>
          <cell r="G307">
            <v>2026</v>
          </cell>
          <cell r="I307" t="str">
            <v>Nathaly Allcca</v>
          </cell>
          <cell r="J307" t="str">
            <v>No RFI</v>
          </cell>
          <cell r="K307">
            <v>46035</v>
          </cell>
        </row>
        <row r="308">
          <cell r="B308" t="str">
            <v>TX_CRA2026_138</v>
          </cell>
          <cell r="C308" t="str">
            <v>0104200_LI_Sector_los_Heroes_0100610_LI_El_Porvenir</v>
          </cell>
          <cell r="D308" t="str">
            <v>M0825</v>
          </cell>
          <cell r="E308" t="str">
            <v>CRA MOVIL ADELANTO Q1 2026</v>
          </cell>
          <cell r="F308" t="str">
            <v>Vulnerabilidad</v>
          </cell>
          <cell r="G308">
            <v>2026</v>
          </cell>
          <cell r="I308" t="str">
            <v>Nathaly Allcca</v>
          </cell>
          <cell r="J308" t="str">
            <v>No RFI</v>
          </cell>
          <cell r="K308">
            <v>46035</v>
          </cell>
        </row>
        <row r="309">
          <cell r="B309" t="str">
            <v>TX_CRA2026_139</v>
          </cell>
          <cell r="C309" t="str">
            <v>010210601_IC_Agricola_Yaurilla_0100820_IC_Cerro_Prieto</v>
          </cell>
          <cell r="D309" t="str">
            <v>M0825</v>
          </cell>
          <cell r="E309" t="str">
            <v>CRA MOVIL ADELANTO Q1 2026</v>
          </cell>
          <cell r="F309" t="str">
            <v>Vulnerabilidad</v>
          </cell>
          <cell r="G309">
            <v>2026</v>
          </cell>
          <cell r="I309" t="str">
            <v>Nathaly Allcca</v>
          </cell>
          <cell r="J309" t="str">
            <v>No RFI</v>
          </cell>
          <cell r="K309">
            <v>46035</v>
          </cell>
        </row>
        <row r="310">
          <cell r="B310" t="str">
            <v>TX_CRA2026_140</v>
          </cell>
          <cell r="C310" t="str">
            <v>0101490_PN_Heroes_Pacifico_0101406_PN_Juliaca_Cerro</v>
          </cell>
          <cell r="D310" t="str">
            <v>M0825</v>
          </cell>
          <cell r="E310" t="str">
            <v>CRA MOVIL ADELANTO Q1 2026</v>
          </cell>
          <cell r="F310" t="str">
            <v>Vulnerabilidad</v>
          </cell>
          <cell r="G310">
            <v>2026</v>
          </cell>
          <cell r="I310" t="str">
            <v>Nathaly Allcca</v>
          </cell>
          <cell r="J310" t="str">
            <v>No RFI</v>
          </cell>
          <cell r="K310">
            <v>46035</v>
          </cell>
        </row>
        <row r="311">
          <cell r="B311" t="str">
            <v>TX_CRA2026_141</v>
          </cell>
          <cell r="C311" t="str">
            <v>0102915_AP_Andahuaylas_0102931_AP_Totoral</v>
          </cell>
          <cell r="D311" t="str">
            <v>M0825</v>
          </cell>
          <cell r="E311" t="str">
            <v>CRA MOVIL ADELANTO Q1 2026</v>
          </cell>
          <cell r="F311" t="str">
            <v>Vulnerabilidad</v>
          </cell>
          <cell r="G311">
            <v>2026</v>
          </cell>
          <cell r="I311" t="str">
            <v>Nathaly Allcca</v>
          </cell>
          <cell r="J311" t="str">
            <v>No RFI</v>
          </cell>
          <cell r="K311">
            <v>46035</v>
          </cell>
        </row>
        <row r="312">
          <cell r="B312" t="str">
            <v>TX_CRA2026_142</v>
          </cell>
          <cell r="C312" t="str">
            <v>0100939_AQ_Jesus to 0100947_AQ_IB_MAP_Arequipa</v>
          </cell>
          <cell r="D312" t="str">
            <v>M0825</v>
          </cell>
          <cell r="E312" t="str">
            <v>CRA MOVIL ADELANTO Q1 2026</v>
          </cell>
          <cell r="F312" t="str">
            <v>Vulnerabilidad</v>
          </cell>
          <cell r="G312">
            <v>2026</v>
          </cell>
          <cell r="I312" t="str">
            <v>Nathaly Allcca</v>
          </cell>
          <cell r="J312" t="str">
            <v>No RFI</v>
          </cell>
          <cell r="K312">
            <v>46035</v>
          </cell>
        </row>
        <row r="313">
          <cell r="B313" t="str">
            <v>TX_CRA2026_143</v>
          </cell>
          <cell r="C313" t="str">
            <v>0101007_LA_Paseo_de_los_Hero to 0101039_LA_Super_Belaunde</v>
          </cell>
          <cell r="D313" t="str">
            <v>M0825</v>
          </cell>
          <cell r="E313" t="str">
            <v>CRA MOVIL ADELANTO Q1 2026</v>
          </cell>
          <cell r="F313" t="str">
            <v>Vulnerabilidad</v>
          </cell>
          <cell r="G313">
            <v>2026</v>
          </cell>
          <cell r="I313" t="str">
            <v>Nathaly Allcca</v>
          </cell>
          <cell r="J313" t="str">
            <v>En Proceso</v>
          </cell>
          <cell r="K313">
            <v>46035</v>
          </cell>
        </row>
        <row r="314">
          <cell r="B314" t="str">
            <v>TX_CRA2026_144</v>
          </cell>
          <cell r="C314" t="str">
            <v>0101005_LA_Chinchaysuyo to 0101019_LA_Avenida_Agricultura</v>
          </cell>
          <cell r="D314" t="str">
            <v>M0825</v>
          </cell>
          <cell r="E314" t="str">
            <v>CRA MOVIL ADELANTO Q1 2026</v>
          </cell>
          <cell r="F314" t="str">
            <v>Vulnerabilidad</v>
          </cell>
          <cell r="G314">
            <v>2026</v>
          </cell>
          <cell r="I314" t="str">
            <v>Nathaly Allcca</v>
          </cell>
          <cell r="J314" t="str">
            <v>En Proceso</v>
          </cell>
          <cell r="K314">
            <v>46035</v>
          </cell>
        </row>
        <row r="315">
          <cell r="B315" t="str">
            <v>TX_CRA2026_145</v>
          </cell>
          <cell r="C315" t="str">
            <v>0100033_LM_San_Juan_de_Mirafl to 0104863_LM_IB_Mall_Sur_U</v>
          </cell>
          <cell r="D315" t="str">
            <v>M0825</v>
          </cell>
          <cell r="E315" t="str">
            <v>CRA MOVIL ADELANTO Q1 2026</v>
          </cell>
          <cell r="F315" t="str">
            <v>Vulnerabilidad</v>
          </cell>
          <cell r="G315">
            <v>2026</v>
          </cell>
          <cell r="I315" t="str">
            <v>Nathaly Allcca</v>
          </cell>
          <cell r="J315" t="str">
            <v>En Proceso</v>
          </cell>
          <cell r="K315">
            <v>46035</v>
          </cell>
        </row>
        <row r="316">
          <cell r="B316" t="str">
            <v>TX_CRA2026_146</v>
          </cell>
          <cell r="C316" t="str">
            <v>0100144_LM_Pamplona to 0105125_LM_Los_Heroes</v>
          </cell>
          <cell r="D316" t="str">
            <v>M0825</v>
          </cell>
          <cell r="E316" t="str">
            <v>CRA MOVIL ADELANTO Q1 2026</v>
          </cell>
          <cell r="F316" t="str">
            <v>Vulnerabilidad</v>
          </cell>
          <cell r="G316">
            <v>2026</v>
          </cell>
          <cell r="I316" t="str">
            <v>Nathaly Allcca</v>
          </cell>
          <cell r="J316" t="str">
            <v>En Proceso</v>
          </cell>
          <cell r="K316">
            <v>46035</v>
          </cell>
        </row>
        <row r="317">
          <cell r="B317" t="str">
            <v>TX_CRA2026_147</v>
          </cell>
          <cell r="C317" t="str">
            <v>0106188_LM_Kamana_Villa to 0104015_LM_Maria_Reiche</v>
          </cell>
          <cell r="D317" t="str">
            <v>M0825</v>
          </cell>
          <cell r="E317" t="str">
            <v>CRA MOVIL ADELANTO Q1 2026</v>
          </cell>
          <cell r="F317" t="str">
            <v>Vulnerabilidad</v>
          </cell>
          <cell r="G317">
            <v>2026</v>
          </cell>
          <cell r="I317" t="str">
            <v>Nathaly Allcca</v>
          </cell>
          <cell r="J317" t="str">
            <v>En Proceso</v>
          </cell>
          <cell r="K317">
            <v>46035</v>
          </cell>
        </row>
        <row r="318">
          <cell r="B318" t="str">
            <v>TX_CRA2026_148</v>
          </cell>
          <cell r="C318" t="str">
            <v>0106212_LM_Republica_Tablada to 0101579_LM_Estadio_Tablada</v>
          </cell>
          <cell r="D318" t="str">
            <v>M0825</v>
          </cell>
          <cell r="E318" t="str">
            <v>CRA MOVIL ADELANTO Q1 2026</v>
          </cell>
          <cell r="F318" t="str">
            <v>Vulnerabilidad</v>
          </cell>
          <cell r="G318">
            <v>2026</v>
          </cell>
          <cell r="I318" t="str">
            <v>Nathaly Allcca</v>
          </cell>
          <cell r="J318" t="str">
            <v>En Proceso</v>
          </cell>
          <cell r="K318">
            <v>46035</v>
          </cell>
        </row>
        <row r="319">
          <cell r="B319" t="str">
            <v>TX_CRA2026_149</v>
          </cell>
          <cell r="C319" t="str">
            <v>0100905_AQ_Villa_Dolores to 0103873_AQ_Santa_Monica</v>
          </cell>
          <cell r="D319" t="str">
            <v>M0825</v>
          </cell>
          <cell r="E319" t="str">
            <v>CRA MOVIL ADELANTO Q1 2026</v>
          </cell>
          <cell r="F319" t="str">
            <v>Vulnerabilidad</v>
          </cell>
          <cell r="G319">
            <v>2026</v>
          </cell>
          <cell r="I319" t="str">
            <v>Nathaly Allcca</v>
          </cell>
          <cell r="J319" t="str">
            <v>No RFI</v>
          </cell>
          <cell r="K319">
            <v>46035</v>
          </cell>
        </row>
        <row r="320">
          <cell r="B320" t="str">
            <v>TX_CRA2026_150</v>
          </cell>
          <cell r="C320" t="str">
            <v>0104525_LM_Canta_Callao_Ba to 0105508_LM_Las_Malvas</v>
          </cell>
          <cell r="D320" t="str">
            <v>M0825</v>
          </cell>
          <cell r="E320" t="str">
            <v>CRA MOVIL ADELANTO Q1 2026</v>
          </cell>
          <cell r="F320" t="str">
            <v>Vulnerabilidad</v>
          </cell>
          <cell r="G320">
            <v>2026</v>
          </cell>
          <cell r="I320" t="str">
            <v>Nathaly Allcca</v>
          </cell>
          <cell r="J320" t="str">
            <v>En Proceso</v>
          </cell>
          <cell r="K320">
            <v>46035</v>
          </cell>
        </row>
        <row r="321">
          <cell r="B321" t="str">
            <v>TX_CRA2026_151</v>
          </cell>
          <cell r="C321" t="str">
            <v>0100375_LM_Ancon to 0104532_LM_Variante</v>
          </cell>
          <cell r="D321" t="str">
            <v>M0850</v>
          </cell>
          <cell r="E321" t="str">
            <v>CRA MOVIL 2026</v>
          </cell>
          <cell r="F321" t="str">
            <v>Vulnerabilidad</v>
          </cell>
          <cell r="G321">
            <v>2026</v>
          </cell>
          <cell r="I321" t="str">
            <v>Nathaly Allcca</v>
          </cell>
          <cell r="J321" t="str">
            <v>No RFI</v>
          </cell>
          <cell r="K321">
            <v>46035</v>
          </cell>
        </row>
        <row r="322">
          <cell r="B322" t="str">
            <v>TX_CRA2026_152</v>
          </cell>
          <cell r="C322" t="str">
            <v>0100376_LM_Chancay to 0100377_LM_Huaral</v>
          </cell>
          <cell r="D322" t="str">
            <v>M0850</v>
          </cell>
          <cell r="E322" t="str">
            <v>CRA MOVIL 2026</v>
          </cell>
          <cell r="F322" t="str">
            <v>Vulnerabilidad</v>
          </cell>
          <cell r="G322">
            <v>2026</v>
          </cell>
          <cell r="I322" t="str">
            <v>Nathaly Allcca</v>
          </cell>
          <cell r="J322" t="str">
            <v>No RFI</v>
          </cell>
          <cell r="K322">
            <v>46035</v>
          </cell>
        </row>
        <row r="323">
          <cell r="B323" t="str">
            <v>TX_CRA2026_153</v>
          </cell>
          <cell r="C323" t="str">
            <v>0100610_LI_El_Porvenir to 0104156_LI_Barrios_De_Trujillo</v>
          </cell>
          <cell r="D323" t="str">
            <v>M0850</v>
          </cell>
          <cell r="E323" t="str">
            <v>CRA MOVIL 2026</v>
          </cell>
          <cell r="F323" t="str">
            <v>Vulnerabilidad</v>
          </cell>
          <cell r="G323">
            <v>2026</v>
          </cell>
          <cell r="I323" t="str">
            <v>Nathaly Allcca</v>
          </cell>
          <cell r="J323" t="str">
            <v>No RFI</v>
          </cell>
          <cell r="K323">
            <v>46035</v>
          </cell>
        </row>
        <row r="324">
          <cell r="B324" t="str">
            <v>TX_CRA2026_154</v>
          </cell>
          <cell r="C324" t="str">
            <v>0101744_PI_Salida_Tambogrande to 0103282_PI_Curumuy</v>
          </cell>
          <cell r="D324" t="str">
            <v>M0850</v>
          </cell>
          <cell r="E324" t="str">
            <v>CRA MOVIL 2026</v>
          </cell>
          <cell r="F324" t="str">
            <v>Vulnerabilidad</v>
          </cell>
          <cell r="G324">
            <v>2026</v>
          </cell>
          <cell r="I324" t="str">
            <v>Nathaly Allcca</v>
          </cell>
          <cell r="J324" t="str">
            <v>No RFI</v>
          </cell>
          <cell r="K324">
            <v>46035</v>
          </cell>
        </row>
        <row r="325">
          <cell r="B325" t="str">
            <v>TX_CRA2026_155</v>
          </cell>
          <cell r="C325" t="str">
            <v>0104477_AQ_Francisco_Mostajo to 0103951_AQ_Torrentera</v>
          </cell>
          <cell r="D325" t="str">
            <v>M0850</v>
          </cell>
          <cell r="E325" t="str">
            <v>CRA MOVIL 2026</v>
          </cell>
          <cell r="F325" t="str">
            <v>Vulnerabilidad</v>
          </cell>
          <cell r="G325">
            <v>2026</v>
          </cell>
          <cell r="I325" t="str">
            <v>Nathaly Allcca</v>
          </cell>
          <cell r="J325" t="str">
            <v>No RFI</v>
          </cell>
          <cell r="K325">
            <v>46035</v>
          </cell>
        </row>
        <row r="326">
          <cell r="B326" t="str">
            <v>TX_CRA2026_156</v>
          </cell>
          <cell r="C326" t="str">
            <v>0100376_LM_Chancay to 0104532_LM_Variante</v>
          </cell>
          <cell r="D326" t="str">
            <v>M0850</v>
          </cell>
          <cell r="E326" t="str">
            <v>CRA MOVIL 2026</v>
          </cell>
          <cell r="F326" t="str">
            <v>Vulnerabilidad</v>
          </cell>
          <cell r="G326">
            <v>2026</v>
          </cell>
          <cell r="I326" t="str">
            <v>Nathaly Allcca</v>
          </cell>
          <cell r="J326" t="str">
            <v>No RFI</v>
          </cell>
          <cell r="K326">
            <v>46035</v>
          </cell>
        </row>
        <row r="327">
          <cell r="B327" t="str">
            <v>TX_CRA2026_157</v>
          </cell>
          <cell r="C327" t="str">
            <v>0103998_AQ_Alto_Sachaca to 010142382_AQ_Mercado_Caceres</v>
          </cell>
          <cell r="D327" t="str">
            <v>M0850</v>
          </cell>
          <cell r="E327" t="str">
            <v>CRA MOVIL 2026</v>
          </cell>
          <cell r="F327" t="str">
            <v>Vulnerabilidad</v>
          </cell>
          <cell r="G327">
            <v>2026</v>
          </cell>
          <cell r="I327" t="str">
            <v>Nathaly Allcca</v>
          </cell>
          <cell r="J327" t="str">
            <v>No RFI</v>
          </cell>
          <cell r="K327">
            <v>46035</v>
          </cell>
        </row>
        <row r="328">
          <cell r="B328" t="str">
            <v>TX_CRA2026_158</v>
          </cell>
          <cell r="C328" t="str">
            <v>0101736_PI_Cerezal to 0103282_PI_Curumuy</v>
          </cell>
          <cell r="D328" t="str">
            <v>M0850</v>
          </cell>
          <cell r="E328" t="str">
            <v>CRA MOVIL 2026</v>
          </cell>
          <cell r="F328" t="str">
            <v>Vulnerabilidad</v>
          </cell>
          <cell r="G328">
            <v>2026</v>
          </cell>
          <cell r="I328" t="str">
            <v>Nathaly Allcca</v>
          </cell>
          <cell r="J328" t="str">
            <v>No RFI</v>
          </cell>
          <cell r="K328">
            <v>46035</v>
          </cell>
        </row>
        <row r="329">
          <cell r="B329" t="str">
            <v>TX_CRA2026_159</v>
          </cell>
          <cell r="C329" t="str">
            <v>0103161_PI_Los_Geranios to 0101736_PI_Cerezal</v>
          </cell>
          <cell r="D329" t="str">
            <v>M0850</v>
          </cell>
          <cell r="E329" t="str">
            <v>CRA MOVIL 2026</v>
          </cell>
          <cell r="F329" t="str">
            <v>Vulnerabilidad</v>
          </cell>
          <cell r="G329">
            <v>2026</v>
          </cell>
          <cell r="I329" t="str">
            <v>Nathaly Allcca</v>
          </cell>
          <cell r="J329" t="str">
            <v>No RFI</v>
          </cell>
          <cell r="K329">
            <v>46035</v>
          </cell>
        </row>
        <row r="330">
          <cell r="B330" t="str">
            <v>TX_CRA2026_160</v>
          </cell>
          <cell r="C330" t="str">
            <v>0100607_LI_Husares_de_Junin to 0100643_LI_Trujillo_Norte</v>
          </cell>
          <cell r="D330" t="str">
            <v>M0850</v>
          </cell>
          <cell r="E330" t="str">
            <v>CRA MOVIL 2026</v>
          </cell>
          <cell r="F330" t="str">
            <v>Vulnerabilidad</v>
          </cell>
          <cell r="G330">
            <v>2026</v>
          </cell>
          <cell r="I330" t="str">
            <v>Nathaly Allcca</v>
          </cell>
          <cell r="J330" t="str">
            <v>No RFI</v>
          </cell>
          <cell r="K330">
            <v>46035</v>
          </cell>
        </row>
        <row r="331">
          <cell r="B331" t="str">
            <v>TX_CRA2026_161</v>
          </cell>
          <cell r="C331" t="str">
            <v>0100643_LI_Trujillo_Norte to 0104156_LI_Barrios_De_Trujillo</v>
          </cell>
          <cell r="D331" t="str">
            <v>M0850</v>
          </cell>
          <cell r="E331" t="str">
            <v>CRA MOVIL 2026</v>
          </cell>
          <cell r="F331" t="str">
            <v>Vulnerabilidad</v>
          </cell>
          <cell r="G331">
            <v>2026</v>
          </cell>
          <cell r="I331" t="str">
            <v>Nathaly Allcca</v>
          </cell>
          <cell r="J331" t="str">
            <v>No RFI</v>
          </cell>
          <cell r="K331">
            <v>46035</v>
          </cell>
        </row>
        <row r="332">
          <cell r="B332" t="str">
            <v>TX_CRA2026_162</v>
          </cell>
          <cell r="C332" t="str">
            <v>0100612_LI_La_Esperanza to 0100606_LI_El_Alambre</v>
          </cell>
          <cell r="D332" t="str">
            <v>M0850</v>
          </cell>
          <cell r="E332" t="str">
            <v>CRA MOVIL 2026</v>
          </cell>
          <cell r="F332" t="str">
            <v>Vulnerabilidad</v>
          </cell>
          <cell r="G332">
            <v>2026</v>
          </cell>
          <cell r="I332" t="str">
            <v>Nathaly Allcca</v>
          </cell>
          <cell r="J332" t="str">
            <v>No RFI</v>
          </cell>
          <cell r="K332">
            <v>46035</v>
          </cell>
        </row>
        <row r="333">
          <cell r="B333" t="str">
            <v>TX_CRA2026_163</v>
          </cell>
          <cell r="C333" t="str">
            <v>0100607_LI_Husares_de_Junin to 0100608_LI_Mercado_Union</v>
          </cell>
          <cell r="D333" t="str">
            <v>M0850</v>
          </cell>
          <cell r="E333" t="str">
            <v>CRA MOVIL 2026</v>
          </cell>
          <cell r="F333" t="str">
            <v>Vulnerabilidad</v>
          </cell>
          <cell r="G333">
            <v>2026</v>
          </cell>
          <cell r="I333" t="str">
            <v>Nathaly Allcca</v>
          </cell>
          <cell r="J333" t="str">
            <v>No RFI</v>
          </cell>
          <cell r="K333">
            <v>46035</v>
          </cell>
        </row>
        <row r="334">
          <cell r="B334" t="str">
            <v>TX_CRA2026_164</v>
          </cell>
          <cell r="C334" t="str">
            <v>0100632_LI_Peralta to 0100608_LI_Mercado_Union</v>
          </cell>
          <cell r="D334" t="str">
            <v>M0850</v>
          </cell>
          <cell r="E334" t="str">
            <v>CRA MOVIL 2026</v>
          </cell>
          <cell r="F334" t="str">
            <v>Vulnerabilidad</v>
          </cell>
          <cell r="G334">
            <v>2026</v>
          </cell>
          <cell r="I334" t="str">
            <v>Nathaly Allcca</v>
          </cell>
          <cell r="J334" t="str">
            <v>No RFI</v>
          </cell>
          <cell r="K334">
            <v>46035</v>
          </cell>
        </row>
        <row r="335">
          <cell r="B335" t="str">
            <v>TX_CRA2026_165</v>
          </cell>
          <cell r="C335" t="str">
            <v>0100632_LI_Peralta to 0100610_LI_El_Porvenir</v>
          </cell>
          <cell r="D335" t="str">
            <v>M0850</v>
          </cell>
          <cell r="E335" t="str">
            <v>CRA MOVIL 2026</v>
          </cell>
          <cell r="F335" t="str">
            <v>Vulnerabilidad</v>
          </cell>
          <cell r="G335">
            <v>2026</v>
          </cell>
          <cell r="I335" t="str">
            <v>Nathaly Allcca</v>
          </cell>
          <cell r="J335" t="str">
            <v>No RFI</v>
          </cell>
          <cell r="K335">
            <v>46035</v>
          </cell>
        </row>
        <row r="336">
          <cell r="B336" t="str">
            <v>TX_CRA2026_166</v>
          </cell>
          <cell r="C336" t="str">
            <v>0100606_LI_El_Alambre to 0100632_LI_Peralta</v>
          </cell>
          <cell r="D336" t="str">
            <v>M0850</v>
          </cell>
          <cell r="E336" t="str">
            <v>CRA MOVIL 2026</v>
          </cell>
          <cell r="F336" t="str">
            <v>Vulnerabilidad</v>
          </cell>
          <cell r="G336">
            <v>2026</v>
          </cell>
          <cell r="I336" t="str">
            <v>Nathaly Allcca</v>
          </cell>
          <cell r="J336" t="str">
            <v>No RFI</v>
          </cell>
          <cell r="K336">
            <v>46035</v>
          </cell>
        </row>
        <row r="337">
          <cell r="B337" t="str">
            <v>TX_CRA2026_167</v>
          </cell>
          <cell r="C337" t="str">
            <v>0100889_IC_Viena_Madrid to 010210605_IC_Dijisa_Ica</v>
          </cell>
          <cell r="D337" t="str">
            <v>M0850</v>
          </cell>
          <cell r="E337" t="str">
            <v>CRA MOVIL 2026</v>
          </cell>
          <cell r="F337" t="str">
            <v>Vulnerabilidad</v>
          </cell>
          <cell r="G337">
            <v>2026</v>
          </cell>
          <cell r="I337" t="str">
            <v>Nathaly Allcca</v>
          </cell>
          <cell r="J337" t="str">
            <v>En Proceso</v>
          </cell>
          <cell r="K337">
            <v>46035</v>
          </cell>
        </row>
        <row r="338">
          <cell r="B338" t="str">
            <v>TX_CRA2026_168</v>
          </cell>
          <cell r="C338" t="str">
            <v>0101006_LA_Parque_Industrial to 0101003_LA_Pimentel</v>
          </cell>
          <cell r="D338" t="str">
            <v>M0850</v>
          </cell>
          <cell r="E338" t="str">
            <v>CRA MOVIL 2026</v>
          </cell>
          <cell r="F338" t="str">
            <v>Vulnerabilidad</v>
          </cell>
          <cell r="G338">
            <v>2026</v>
          </cell>
          <cell r="I338" t="str">
            <v>Nathaly Allcca</v>
          </cell>
          <cell r="J338" t="str">
            <v>No RFI</v>
          </cell>
          <cell r="K338">
            <v>46035</v>
          </cell>
        </row>
        <row r="339">
          <cell r="B339" t="str">
            <v>TX_CRA2026_169</v>
          </cell>
          <cell r="C339" t="str">
            <v>0101008_LA_Moshoqueque to 0101005_LA_Chinchaysuyo</v>
          </cell>
          <cell r="D339" t="str">
            <v>M0850</v>
          </cell>
          <cell r="E339" t="str">
            <v>CRA MOVIL 2026</v>
          </cell>
          <cell r="F339" t="str">
            <v>Vulnerabilidad</v>
          </cell>
          <cell r="G339">
            <v>2026</v>
          </cell>
          <cell r="I339" t="str">
            <v>Nathaly Allcca</v>
          </cell>
          <cell r="J339" t="str">
            <v>No RFI</v>
          </cell>
          <cell r="K339">
            <v>46035</v>
          </cell>
        </row>
        <row r="340">
          <cell r="B340" t="str">
            <v>TX_CRA2026_170</v>
          </cell>
          <cell r="C340" t="str">
            <v>0101003_LA_Pimentel to 0101029_LA_Santa_Rosa_Lamb</v>
          </cell>
          <cell r="D340" t="str">
            <v>M0850</v>
          </cell>
          <cell r="E340" t="str">
            <v>CRA MOVIL 2026</v>
          </cell>
          <cell r="F340" t="str">
            <v>Vulnerabilidad</v>
          </cell>
          <cell r="G340">
            <v>2026</v>
          </cell>
          <cell r="I340" t="str">
            <v>Nathaly Allcca</v>
          </cell>
          <cell r="J340" t="str">
            <v>En Proceso</v>
          </cell>
          <cell r="K340">
            <v>46035</v>
          </cell>
        </row>
        <row r="341">
          <cell r="B341" t="str">
            <v>TX_CRA2026_171</v>
          </cell>
          <cell r="C341" t="str">
            <v>0101002_LA_Reque to 0101098_LA_Andres_Lastre</v>
          </cell>
          <cell r="D341" t="str">
            <v>M0850</v>
          </cell>
          <cell r="E341" t="str">
            <v>CRA MOVIL 2026</v>
          </cell>
          <cell r="F341" t="str">
            <v>Vulnerabilidad</v>
          </cell>
          <cell r="G341">
            <v>2026</v>
          </cell>
          <cell r="I341" t="str">
            <v>Nathaly Allcca</v>
          </cell>
          <cell r="J341" t="str">
            <v>En Proceso</v>
          </cell>
          <cell r="K341">
            <v>46035</v>
          </cell>
        </row>
        <row r="342">
          <cell r="B342" t="str">
            <v>TX_CRA2026_172</v>
          </cell>
          <cell r="C342" t="str">
            <v>0131008_LA_Moshoqueque to 0101007_LA_Paseo_de_los_Hero</v>
          </cell>
          <cell r="D342" t="str">
            <v>M0850</v>
          </cell>
          <cell r="E342" t="str">
            <v>CRA MOVIL 2026</v>
          </cell>
          <cell r="F342" t="str">
            <v>Vulnerabilidad</v>
          </cell>
          <cell r="G342">
            <v>2026</v>
          </cell>
          <cell r="I342" t="str">
            <v>Nathaly Allcca</v>
          </cell>
          <cell r="J342" t="str">
            <v>En Proceso</v>
          </cell>
          <cell r="K342">
            <v>46035</v>
          </cell>
        </row>
        <row r="343">
          <cell r="B343" t="str">
            <v>TX_CRA2026_173</v>
          </cell>
          <cell r="C343" t="str">
            <v>0101002_LA_Reque to 0101003_LA_Pimentel</v>
          </cell>
          <cell r="D343" t="str">
            <v>M0850</v>
          </cell>
          <cell r="E343" t="str">
            <v>CRA MOVIL 2026</v>
          </cell>
          <cell r="F343" t="str">
            <v>Vulnerabilidad</v>
          </cell>
          <cell r="G343">
            <v>2026</v>
          </cell>
          <cell r="I343" t="str">
            <v>Nathaly Allcca</v>
          </cell>
          <cell r="J343" t="str">
            <v>En Proceso</v>
          </cell>
          <cell r="K343">
            <v>46035</v>
          </cell>
        </row>
        <row r="344">
          <cell r="B344" t="str">
            <v>TX_CRA2026_174</v>
          </cell>
          <cell r="C344" t="str">
            <v>0100232_LM_Rivadavia to 0105642_LM_Civico_Vitarte</v>
          </cell>
          <cell r="D344" t="str">
            <v>M0850</v>
          </cell>
          <cell r="E344" t="str">
            <v>CRA MOVIL 2026</v>
          </cell>
          <cell r="F344" t="str">
            <v>Vulnerabilidad</v>
          </cell>
          <cell r="G344">
            <v>2026</v>
          </cell>
          <cell r="I344" t="str">
            <v>Nathaly Allcca</v>
          </cell>
          <cell r="J344" t="str">
            <v>En Proceso</v>
          </cell>
          <cell r="K344">
            <v>46035</v>
          </cell>
        </row>
        <row r="345">
          <cell r="B345" t="str">
            <v>TX_CRA2026_175</v>
          </cell>
          <cell r="C345" t="str">
            <v>0105151_LM_Galpones to 0130556_LM_Kantay</v>
          </cell>
          <cell r="D345" t="str">
            <v>M0850</v>
          </cell>
          <cell r="E345" t="str">
            <v>CRA MOVIL 2026</v>
          </cell>
          <cell r="F345" t="str">
            <v>Vulnerabilidad</v>
          </cell>
          <cell r="G345">
            <v>2026</v>
          </cell>
          <cell r="I345" t="str">
            <v>Nathaly Allcca</v>
          </cell>
          <cell r="J345" t="str">
            <v>No RFI</v>
          </cell>
          <cell r="K345">
            <v>46035</v>
          </cell>
        </row>
        <row r="346">
          <cell r="B346" t="str">
            <v>TX_CRA2026_176</v>
          </cell>
          <cell r="C346" t="str">
            <v>0100173_LM_Zavala to 0104589_LM_Sheraton</v>
          </cell>
          <cell r="D346" t="str">
            <v>M0825</v>
          </cell>
          <cell r="E346" t="str">
            <v>CRA MOVIL ADELANTO Q1 2026</v>
          </cell>
          <cell r="F346" t="str">
            <v>Vulnerabilidad</v>
          </cell>
          <cell r="G346">
            <v>2026</v>
          </cell>
          <cell r="I346" t="str">
            <v>Nathaly Allcca</v>
          </cell>
          <cell r="J346" t="str">
            <v>No RFI</v>
          </cell>
          <cell r="K346">
            <v>46035</v>
          </cell>
        </row>
        <row r="347">
          <cell r="B347" t="str">
            <v>TX_CRA2026_180</v>
          </cell>
          <cell r="C347" t="str">
            <v>0105762_LM_Alto_De_La_Alianza_0105774_LM_Lima_Centro</v>
          </cell>
          <cell r="D347" t="str">
            <v>M0850</v>
          </cell>
          <cell r="E347" t="str">
            <v>CRA MOVIL 2026</v>
          </cell>
          <cell r="F347" t="str">
            <v>Vulnerabilidad</v>
          </cell>
          <cell r="G347">
            <v>2026</v>
          </cell>
          <cell r="I347" t="str">
            <v>Nathaly Allcca</v>
          </cell>
          <cell r="J347" t="str">
            <v>No RFI</v>
          </cell>
          <cell r="K347">
            <v>46035</v>
          </cell>
        </row>
        <row r="348">
          <cell r="B348" t="str">
            <v>TX_CRA2026_181</v>
          </cell>
          <cell r="C348" t="str">
            <v>0105696_LM_Calle_Antigua_0100086_LM_La_Capilla</v>
          </cell>
          <cell r="D348" t="str">
            <v>M0850</v>
          </cell>
          <cell r="E348" t="str">
            <v>CRA MOVIL 2026</v>
          </cell>
          <cell r="F348" t="str">
            <v>Vulnerabilidad</v>
          </cell>
          <cell r="G348">
            <v>2026</v>
          </cell>
          <cell r="I348" t="str">
            <v>Nathaly Allcca</v>
          </cell>
          <cell r="J348" t="str">
            <v>No RFI</v>
          </cell>
          <cell r="K348">
            <v>46035</v>
          </cell>
        </row>
        <row r="349">
          <cell r="B349" t="str">
            <v>TX_CRA2026_182</v>
          </cell>
          <cell r="C349" t="str">
            <v>0100928_AQ_Mayta_Capac_0100909_AQ_Los_Rosales</v>
          </cell>
          <cell r="D349" t="str">
            <v>M0850</v>
          </cell>
          <cell r="E349" t="str">
            <v>CRA MOVIL 2026</v>
          </cell>
          <cell r="F349" t="str">
            <v>Vulnerabilidad</v>
          </cell>
          <cell r="G349">
            <v>2026</v>
          </cell>
          <cell r="I349" t="str">
            <v>Nathaly Allcca</v>
          </cell>
          <cell r="J349" t="str">
            <v>No RFI</v>
          </cell>
          <cell r="K349">
            <v>46035</v>
          </cell>
        </row>
        <row r="350">
          <cell r="B350" t="str">
            <v>TX_CRA2026_183</v>
          </cell>
          <cell r="C350" t="str">
            <v>0105219_LM_Plaza_Francia_0100192_LM_Centro_Civico</v>
          </cell>
          <cell r="D350" t="str">
            <v>M0850</v>
          </cell>
          <cell r="E350" t="str">
            <v>CRA MOVIL 2026</v>
          </cell>
          <cell r="F350" t="str">
            <v>Vulnerabilidad</v>
          </cell>
          <cell r="G350">
            <v>2026</v>
          </cell>
          <cell r="I350" t="str">
            <v>Nathaly Allcca</v>
          </cell>
          <cell r="J350" t="str">
            <v>No RFI</v>
          </cell>
          <cell r="K350">
            <v>46035</v>
          </cell>
        </row>
        <row r="351">
          <cell r="B351" t="str">
            <v>TX_CRA2026_184</v>
          </cell>
          <cell r="C351" t="str">
            <v>0101058_LA_Saenz_Pena_0101004_LA_Chiclayo_Centro</v>
          </cell>
          <cell r="D351" t="str">
            <v>M0850</v>
          </cell>
          <cell r="E351" t="str">
            <v>CRA MOVIL 2026</v>
          </cell>
          <cell r="F351" t="str">
            <v>Vulnerabilidad</v>
          </cell>
          <cell r="G351">
            <v>2026</v>
          </cell>
          <cell r="I351" t="str">
            <v>Nathaly Allcca</v>
          </cell>
          <cell r="J351" t="str">
            <v>No RFI</v>
          </cell>
          <cell r="K351">
            <v>46035</v>
          </cell>
        </row>
        <row r="352">
          <cell r="B352" t="str">
            <v>TX_CRA2026_185</v>
          </cell>
          <cell r="C352" t="str">
            <v>0101022_LA_Eten_0101002_LA_Reque</v>
          </cell>
          <cell r="D352" t="str">
            <v>M0850</v>
          </cell>
          <cell r="E352" t="str">
            <v>CRA MOVIL 2026</v>
          </cell>
          <cell r="F352" t="str">
            <v>Vulnerabilidad</v>
          </cell>
          <cell r="G352">
            <v>2026</v>
          </cell>
          <cell r="I352" t="str">
            <v>Nathaly Allcca</v>
          </cell>
          <cell r="J352" t="str">
            <v>No RFI</v>
          </cell>
          <cell r="K352">
            <v>46035</v>
          </cell>
        </row>
        <row r="353">
          <cell r="B353" t="str">
            <v>TX_CRA2026_186</v>
          </cell>
          <cell r="C353" t="str">
            <v>0100653_LI_La_Alameda_0100610_LI_El_Porvenir</v>
          </cell>
          <cell r="D353" t="str">
            <v>M0850</v>
          </cell>
          <cell r="E353" t="str">
            <v>CRA MOVIL 2026</v>
          </cell>
          <cell r="F353" t="str">
            <v>Vulnerabilidad</v>
          </cell>
          <cell r="G353">
            <v>2026</v>
          </cell>
          <cell r="I353" t="str">
            <v>Nathaly Allcca</v>
          </cell>
          <cell r="J353" t="str">
            <v>No RFI</v>
          </cell>
          <cell r="K353">
            <v>46035</v>
          </cell>
        </row>
        <row r="354">
          <cell r="B354" t="str">
            <v>TX_CRA2026_187</v>
          </cell>
          <cell r="C354" t="str">
            <v>0105860_LM_Cantabrico_0100543_LM_Repetidor_La_Molina</v>
          </cell>
          <cell r="D354" t="str">
            <v>M0850</v>
          </cell>
          <cell r="E354" t="str">
            <v>CRA MOVIL 2026</v>
          </cell>
          <cell r="F354" t="str">
            <v>Vulnerabilidad</v>
          </cell>
          <cell r="G354">
            <v>2026</v>
          </cell>
          <cell r="I354" t="str">
            <v>Nathaly Allcca</v>
          </cell>
          <cell r="J354" t="str">
            <v>No RFI</v>
          </cell>
          <cell r="K354">
            <v>46035</v>
          </cell>
        </row>
        <row r="355">
          <cell r="B355" t="str">
            <v>TX_CRA2026_188</v>
          </cell>
          <cell r="C355" t="str">
            <v>0100405_LM_Pilsen_0100236_LM_Lemos</v>
          </cell>
          <cell r="D355" t="str">
            <v>M0850</v>
          </cell>
          <cell r="E355" t="str">
            <v>CRA MOVIL 2026</v>
          </cell>
          <cell r="F355" t="str">
            <v>Vulnerabilidad</v>
          </cell>
          <cell r="G355">
            <v>2026</v>
          </cell>
          <cell r="I355" t="str">
            <v>Nathaly Allcca</v>
          </cell>
          <cell r="J355" t="str">
            <v>No RFI</v>
          </cell>
          <cell r="K355">
            <v>46035</v>
          </cell>
        </row>
        <row r="356">
          <cell r="B356" t="str">
            <v>TX_CRA2026_189</v>
          </cell>
          <cell r="C356" t="str">
            <v>0104125_LI_Complejo_Chicago_0100681_LI_Villa_del_Contador</v>
          </cell>
          <cell r="D356" t="str">
            <v>M0850</v>
          </cell>
          <cell r="E356" t="str">
            <v>CRA MOVIL 2026</v>
          </cell>
          <cell r="F356" t="str">
            <v>Vulnerabilidad</v>
          </cell>
          <cell r="G356">
            <v>2026</v>
          </cell>
          <cell r="I356" t="str">
            <v>Nathaly Allcca</v>
          </cell>
          <cell r="J356" t="str">
            <v>No RFI</v>
          </cell>
          <cell r="K356">
            <v>46035</v>
          </cell>
        </row>
        <row r="357">
          <cell r="B357" t="str">
            <v>TX_CRA2026_190</v>
          </cell>
          <cell r="C357" t="str">
            <v>0106281_LM_Los_Jardines_Paramo_0100385_LM_Barranca</v>
          </cell>
          <cell r="D357" t="str">
            <v>M0850</v>
          </cell>
          <cell r="E357" t="str">
            <v>CRA MOVIL 2026</v>
          </cell>
          <cell r="F357" t="str">
            <v>Vulnerabilidad</v>
          </cell>
          <cell r="G357">
            <v>2026</v>
          </cell>
          <cell r="I357" t="str">
            <v>Nathaly Allcca</v>
          </cell>
          <cell r="J357" t="str">
            <v>No RFI</v>
          </cell>
          <cell r="K357">
            <v>46035</v>
          </cell>
        </row>
        <row r="358">
          <cell r="B358" t="str">
            <v>TX_CRA2026_191</v>
          </cell>
          <cell r="C358" t="str">
            <v>0101204_TA_Los_Palos_0101207_TA_Cerro_Para</v>
          </cell>
          <cell r="D358" t="str">
            <v>M0850</v>
          </cell>
          <cell r="E358" t="str">
            <v>CRA MOVIL 2026</v>
          </cell>
          <cell r="F358" t="str">
            <v>Vulnerabilidad</v>
          </cell>
          <cell r="G358">
            <v>2026</v>
          </cell>
          <cell r="I358" t="str">
            <v>Nathaly Allcca</v>
          </cell>
          <cell r="J358" t="str">
            <v>No RFI</v>
          </cell>
          <cell r="K358">
            <v>46035</v>
          </cell>
        </row>
        <row r="359">
          <cell r="B359" t="str">
            <v>TX_CRA2026_192</v>
          </cell>
          <cell r="C359" t="str">
            <v>0103384_UY_Campo_Verde_0103378_UY_Shipibo</v>
          </cell>
          <cell r="D359" t="str">
            <v>M0850</v>
          </cell>
          <cell r="E359" t="str">
            <v>CRA MOVIL 2026</v>
          </cell>
          <cell r="F359" t="str">
            <v>Vulnerabilidad</v>
          </cell>
          <cell r="G359">
            <v>2026</v>
          </cell>
          <cell r="I359" t="str">
            <v>Nathaly Allcca</v>
          </cell>
          <cell r="J359" t="str">
            <v>No RFI</v>
          </cell>
          <cell r="K359">
            <v>46035</v>
          </cell>
        </row>
        <row r="360">
          <cell r="B360" t="str">
            <v>TX_CRA2026_193</v>
          </cell>
          <cell r="C360" t="str">
            <v>0103607_HU_Huayllaraccra_0103605_HU_Huancavelica_Plaza</v>
          </cell>
          <cell r="D360" t="str">
            <v>M0850</v>
          </cell>
          <cell r="E360" t="str">
            <v>CRA MOVIL 2026</v>
          </cell>
          <cell r="F360" t="str">
            <v>Vulnerabilidad</v>
          </cell>
          <cell r="G360">
            <v>2026</v>
          </cell>
          <cell r="I360" t="str">
            <v>Nathaly Allcca</v>
          </cell>
          <cell r="J360" t="str">
            <v>No RFI</v>
          </cell>
          <cell r="K360">
            <v>46035</v>
          </cell>
        </row>
        <row r="361">
          <cell r="B361" t="str">
            <v>TX_CRA2026_194</v>
          </cell>
          <cell r="C361" t="str">
            <v>0101837_TU_Pampas_De_Hospital_0101804_TU_Tumbes</v>
          </cell>
          <cell r="D361" t="str">
            <v>M0850</v>
          </cell>
          <cell r="E361" t="str">
            <v>CRA MOVIL 2026</v>
          </cell>
          <cell r="F361" t="str">
            <v>Vulnerabilidad</v>
          </cell>
          <cell r="G361">
            <v>2026</v>
          </cell>
          <cell r="I361" t="str">
            <v>Nathaly Allcca</v>
          </cell>
          <cell r="J361" t="str">
            <v>No RFI</v>
          </cell>
          <cell r="K361">
            <v>46035</v>
          </cell>
        </row>
        <row r="362">
          <cell r="B362" t="str">
            <v>TX_CRA2026_195</v>
          </cell>
          <cell r="C362" t="str">
            <v>0103553_LH_Conchamarca_0103527_LH_Pilcomarca_Muni</v>
          </cell>
          <cell r="D362" t="str">
            <v>M0850</v>
          </cell>
          <cell r="E362" t="str">
            <v>CRA MOVIL 2026</v>
          </cell>
          <cell r="F362" t="str">
            <v>Vulnerabilidad</v>
          </cell>
          <cell r="G362">
            <v>2026</v>
          </cell>
          <cell r="I362" t="str">
            <v>Nathaly Allcca</v>
          </cell>
          <cell r="J362" t="str">
            <v>No RFI</v>
          </cell>
          <cell r="K362">
            <v>46035</v>
          </cell>
        </row>
        <row r="363">
          <cell r="B363" t="str">
            <v>TX_CRA2026_196</v>
          </cell>
          <cell r="C363" t="str">
            <v>0102454_LA_Pacherrez_0101046_LA_Puente_Once</v>
          </cell>
          <cell r="D363" t="str">
            <v>M0850</v>
          </cell>
          <cell r="E363" t="str">
            <v>CRA MOVIL 2026</v>
          </cell>
          <cell r="F363" t="str">
            <v>Vulnerabilidad</v>
          </cell>
          <cell r="G363">
            <v>2026</v>
          </cell>
          <cell r="I363" t="str">
            <v>Nathaly Allcca</v>
          </cell>
          <cell r="J363" t="str">
            <v>No RFI</v>
          </cell>
          <cell r="K363">
            <v>46035</v>
          </cell>
        </row>
        <row r="364">
          <cell r="B364" t="str">
            <v>TX_CRA2026_197</v>
          </cell>
          <cell r="C364" t="str">
            <v>0103044_JU_Jauja_Ciudad_0101613_JU_Jauja</v>
          </cell>
          <cell r="D364" t="str">
            <v>M0850</v>
          </cell>
          <cell r="E364" t="str">
            <v>CRA MOVIL 2026</v>
          </cell>
          <cell r="F364" t="str">
            <v>Vulnerabilidad</v>
          </cell>
          <cell r="G364">
            <v>2026</v>
          </cell>
          <cell r="I364" t="str">
            <v>Nathaly Allcca</v>
          </cell>
          <cell r="J364" t="str">
            <v>No RFI</v>
          </cell>
          <cell r="K364">
            <v>46035</v>
          </cell>
        </row>
        <row r="365">
          <cell r="B365" t="str">
            <v>TX_CRA2026_198</v>
          </cell>
          <cell r="C365" t="str">
            <v>0104213_LO_Refineria_Iquitos_0101935_LO_Punchana_Iquitos</v>
          </cell>
          <cell r="D365" t="str">
            <v>M0850</v>
          </cell>
          <cell r="E365" t="str">
            <v>CRA MOVIL 2026</v>
          </cell>
          <cell r="F365" t="str">
            <v>Vulnerabilidad</v>
          </cell>
          <cell r="G365">
            <v>2026</v>
          </cell>
          <cell r="I365" t="str">
            <v>Nathaly Allcca</v>
          </cell>
          <cell r="J365" t="str">
            <v>No RFI</v>
          </cell>
          <cell r="K365">
            <v>46035</v>
          </cell>
        </row>
        <row r="366">
          <cell r="B366" t="str">
            <v>TX_CRA2026_199</v>
          </cell>
          <cell r="C366" t="str">
            <v>0101611_JU_Irayrapata_0103082_JU_El_Tambo_R1</v>
          </cell>
          <cell r="D366" t="str">
            <v>M0850</v>
          </cell>
          <cell r="E366" t="str">
            <v>CRA MOVIL 2026</v>
          </cell>
          <cell r="F366" t="str">
            <v>Vulnerabilidad</v>
          </cell>
          <cell r="G366">
            <v>2026</v>
          </cell>
          <cell r="I366" t="str">
            <v>Nathaly Allcca</v>
          </cell>
          <cell r="J366" t="str">
            <v>No RFI</v>
          </cell>
          <cell r="K366">
            <v>46035</v>
          </cell>
        </row>
        <row r="367">
          <cell r="B367" t="str">
            <v>TX_CRA2026_200</v>
          </cell>
          <cell r="C367" t="str">
            <v>0101801_TU_Punta_Sal_0101802_TU_Puntas_Pico</v>
          </cell>
          <cell r="D367" t="str">
            <v>M0850</v>
          </cell>
          <cell r="E367" t="str">
            <v>CRA MOVIL 2026</v>
          </cell>
          <cell r="F367" t="str">
            <v>Vulnerabilidad</v>
          </cell>
          <cell r="G367">
            <v>2026</v>
          </cell>
          <cell r="I367" t="str">
            <v>Nathaly Allcca</v>
          </cell>
          <cell r="J367" t="str">
            <v>No RFI</v>
          </cell>
          <cell r="K367">
            <v>46035</v>
          </cell>
        </row>
        <row r="368">
          <cell r="B368" t="str">
            <v>TX_CRA2026_201</v>
          </cell>
          <cell r="C368" t="str">
            <v>0102266_IC_Pampa_De_La_Isla_0101139_IC_Tinguina_R1</v>
          </cell>
          <cell r="D368" t="str">
            <v>M0850</v>
          </cell>
          <cell r="E368" t="str">
            <v>CRA MOVIL 2026</v>
          </cell>
          <cell r="F368" t="str">
            <v>Vulnerabilidad</v>
          </cell>
          <cell r="G368">
            <v>2026</v>
          </cell>
          <cell r="I368" t="str">
            <v>Nathaly Allcca</v>
          </cell>
          <cell r="J368" t="str">
            <v>No RFI</v>
          </cell>
          <cell r="K368">
            <v>46035</v>
          </cell>
        </row>
        <row r="369">
          <cell r="B369" t="str">
            <v>TX_CRA2026_202</v>
          </cell>
          <cell r="C369" t="str">
            <v>0103272_PI_Chocan_Piura_0101707_PI_Paita</v>
          </cell>
          <cell r="D369" t="str">
            <v>M0850</v>
          </cell>
          <cell r="E369" t="str">
            <v>CRA MOVIL 2026</v>
          </cell>
          <cell r="F369" t="str">
            <v>Vulnerabilidad</v>
          </cell>
          <cell r="G369">
            <v>2026</v>
          </cell>
          <cell r="I369" t="str">
            <v>Nathaly Allcca</v>
          </cell>
          <cell r="J369" t="str">
            <v>No RFI</v>
          </cell>
          <cell r="K369">
            <v>46035</v>
          </cell>
        </row>
        <row r="370">
          <cell r="B370" t="str">
            <v>TX_CRA2026_203</v>
          </cell>
          <cell r="C370" t="str">
            <v>010301610_PI_Herrera_Carlin_0101710_PI_Talara</v>
          </cell>
          <cell r="D370" t="str">
            <v>M0850</v>
          </cell>
          <cell r="E370" t="str">
            <v>CRA MOVIL 2026</v>
          </cell>
          <cell r="F370" t="str">
            <v>Vulnerabilidad</v>
          </cell>
          <cell r="G370">
            <v>2026</v>
          </cell>
          <cell r="I370" t="str">
            <v>Nathaly Allcca</v>
          </cell>
          <cell r="J370" t="str">
            <v>No RFI</v>
          </cell>
          <cell r="K370">
            <v>46035</v>
          </cell>
        </row>
        <row r="371">
          <cell r="B371" t="str">
            <v>TX_CRA2026_219</v>
          </cell>
          <cell r="C371" t="str">
            <v>0103180_LA_Irrigacion_Olmos_0101012_LA_Las_Salinas</v>
          </cell>
          <cell r="D371" t="str">
            <v>M0825</v>
          </cell>
          <cell r="E371" t="str">
            <v>CRA MOVIL ADELANTO Q1 2026</v>
          </cell>
          <cell r="F371" t="str">
            <v>Vulnerabilidad</v>
          </cell>
          <cell r="G371">
            <v>2026</v>
          </cell>
          <cell r="I371" t="str">
            <v>Nathaly Allcca</v>
          </cell>
          <cell r="J371" t="str">
            <v>En Proceso</v>
          </cell>
          <cell r="K371">
            <v>46035</v>
          </cell>
        </row>
        <row r="372">
          <cell r="B372" t="str">
            <v>TX_CRA2026_220</v>
          </cell>
          <cell r="C372" t="str">
            <v>0102799_CS_Urcos_0101318_CS_Oropesa</v>
          </cell>
          <cell r="D372" t="str">
            <v>M0825</v>
          </cell>
          <cell r="E372" t="str">
            <v>CRA MOVIL ADELANTO Q1 2026</v>
          </cell>
          <cell r="F372" t="str">
            <v>Vulnerabilidad</v>
          </cell>
          <cell r="G372">
            <v>2026</v>
          </cell>
          <cell r="I372" t="str">
            <v>Nathaly Allcca</v>
          </cell>
          <cell r="J372" t="str">
            <v>Activado</v>
          </cell>
          <cell r="K372">
            <v>46035</v>
          </cell>
        </row>
        <row r="373">
          <cell r="B373" t="str">
            <v>TX_CRA2026_221</v>
          </cell>
          <cell r="C373" t="str">
            <v>0101018_LA_Motupe_0101017_LA_Jayanca</v>
          </cell>
          <cell r="D373" t="str">
            <v>M0825</v>
          </cell>
          <cell r="E373" t="str">
            <v>CRA MOVIL ADELANTO Q1 2026</v>
          </cell>
          <cell r="F373" t="str">
            <v>Vulnerabilidad</v>
          </cell>
          <cell r="G373">
            <v>2026</v>
          </cell>
          <cell r="I373" t="str">
            <v>Nathaly Allcca</v>
          </cell>
          <cell r="J373" t="str">
            <v>Activado</v>
          </cell>
          <cell r="K373">
            <v>46035</v>
          </cell>
        </row>
        <row r="374">
          <cell r="B374" t="str">
            <v>TX_CRA2026_222</v>
          </cell>
          <cell r="C374" t="str">
            <v>0102230_PI_Huarmaca_0101719_PI_Chulucanas</v>
          </cell>
          <cell r="D374" t="str">
            <v>M0825</v>
          </cell>
          <cell r="E374" t="str">
            <v>CRA MOVIL ADELANTO Q1 2026</v>
          </cell>
          <cell r="F374" t="str">
            <v>Vulnerabilidad</v>
          </cell>
          <cell r="G374">
            <v>2026</v>
          </cell>
          <cell r="I374" t="str">
            <v>Nathaly Allcca</v>
          </cell>
          <cell r="J374" t="str">
            <v>En Proceso</v>
          </cell>
          <cell r="K374">
            <v>46035</v>
          </cell>
        </row>
        <row r="375">
          <cell r="B375" t="str">
            <v>TX_CRA2026_223</v>
          </cell>
          <cell r="C375" t="str">
            <v>0104712_CA_Celendin_0104711_CA_Chumuch</v>
          </cell>
          <cell r="D375" t="str">
            <v>M0825</v>
          </cell>
          <cell r="E375" t="str">
            <v>CRA MOVIL ADELANTO Q1 2026</v>
          </cell>
          <cell r="F375" t="str">
            <v>Vulnerabilidad</v>
          </cell>
          <cell r="G375">
            <v>2026</v>
          </cell>
          <cell r="I375" t="str">
            <v>Nathaly Allcca</v>
          </cell>
          <cell r="J375" t="str">
            <v>En Proceso</v>
          </cell>
          <cell r="K375">
            <v>46035</v>
          </cell>
        </row>
        <row r="376">
          <cell r="B376" t="str">
            <v>TX_CRA2026_224</v>
          </cell>
          <cell r="C376" t="str">
            <v>0104654_AN_Chinecas_0100759_AN_Alto_Nuevo_Chimbote</v>
          </cell>
          <cell r="D376" t="str">
            <v>M0825</v>
          </cell>
          <cell r="E376" t="str">
            <v>CRA MOVIL ADELANTO Q1 2026</v>
          </cell>
          <cell r="F376" t="str">
            <v>Vulnerabilidad</v>
          </cell>
          <cell r="G376">
            <v>2026</v>
          </cell>
          <cell r="I376" t="str">
            <v>Nathaly Allcca</v>
          </cell>
          <cell r="J376" t="str">
            <v>En Proceso</v>
          </cell>
          <cell r="K376">
            <v>46035</v>
          </cell>
        </row>
        <row r="377">
          <cell r="B377" t="str">
            <v>TX_CRA2026_225</v>
          </cell>
          <cell r="C377" t="str">
            <v>0101686_JU_Calle_Real_0101601_JU_Huancayo_Centro</v>
          </cell>
          <cell r="D377" t="str">
            <v>M0825</v>
          </cell>
          <cell r="E377" t="str">
            <v>CRA MOVIL ADELANTO Q1 2026</v>
          </cell>
          <cell r="F377" t="str">
            <v>Vulnerabilidad</v>
          </cell>
          <cell r="G377">
            <v>2026</v>
          </cell>
          <cell r="I377" t="str">
            <v>Nathaly Allcca</v>
          </cell>
          <cell r="J377" t="str">
            <v>En Proceso</v>
          </cell>
          <cell r="K377">
            <v>46035</v>
          </cell>
        </row>
        <row r="378">
          <cell r="B378" t="str">
            <v>TX_CRA2026_226</v>
          </cell>
          <cell r="C378" t="str">
            <v>0101623_JU_Huancayo_Universidad_Andes_0101644_JU_Husares</v>
          </cell>
          <cell r="D378" t="str">
            <v>M0825</v>
          </cell>
          <cell r="E378" t="str">
            <v>CRA MOVIL ADELANTO Q1 2026</v>
          </cell>
          <cell r="F378" t="str">
            <v>Vulnerabilidad</v>
          </cell>
          <cell r="G378">
            <v>2026</v>
          </cell>
          <cell r="I378" t="str">
            <v>Nathaly Allcca</v>
          </cell>
          <cell r="J378" t="str">
            <v>En Proceso</v>
          </cell>
          <cell r="K378">
            <v>46035</v>
          </cell>
        </row>
        <row r="379">
          <cell r="B379" t="str">
            <v>TX_CRA2026_227</v>
          </cell>
          <cell r="C379" t="str">
            <v>010251362_LM_Biblioteca_Nacional_R1_0102732_LM_HB_Chartered_AMT</v>
          </cell>
          <cell r="D379" t="str">
            <v>M0825</v>
          </cell>
          <cell r="E379" t="str">
            <v>CRA MOVIL ADELANTO Q1 2026</v>
          </cell>
          <cell r="F379" t="str">
            <v>Vulnerabilidad</v>
          </cell>
          <cell r="G379">
            <v>2026</v>
          </cell>
          <cell r="I379" t="str">
            <v>Nathaly Allcca</v>
          </cell>
          <cell r="J379" t="str">
            <v>En Proceso</v>
          </cell>
          <cell r="K379">
            <v>46035</v>
          </cell>
        </row>
        <row r="380">
          <cell r="B380" t="str">
            <v>TX_CRA2026_232</v>
          </cell>
          <cell r="C380" t="str">
            <v>0106243_LM_Los_Claveles_Lurin_0100387_LM_Lurin</v>
          </cell>
          <cell r="D380" t="str">
            <v>M0825</v>
          </cell>
          <cell r="E380" t="str">
            <v>CRA MOVIL ADELANTO Q1 2026</v>
          </cell>
          <cell r="F380" t="str">
            <v>Vulnerabilidad</v>
          </cell>
          <cell r="G380">
            <v>2026</v>
          </cell>
          <cell r="I380" t="str">
            <v>Nathaly Allcca</v>
          </cell>
          <cell r="J380" t="str">
            <v>Activado</v>
          </cell>
          <cell r="K380">
            <v>46035</v>
          </cell>
        </row>
        <row r="381">
          <cell r="B381" t="str">
            <v>TX_CRA2026_234</v>
          </cell>
          <cell r="C381" t="str">
            <v>0101509_CA_El_Quinde to 0104747_CA_Cerro_Mashcon</v>
          </cell>
          <cell r="D381" t="str">
            <v>M0825</v>
          </cell>
          <cell r="E381" t="str">
            <v>CRA MOVIL ADELANTO Q1 2026</v>
          </cell>
          <cell r="F381" t="str">
            <v>Vulnerabilidad</v>
          </cell>
          <cell r="G381">
            <v>2026</v>
          </cell>
          <cell r="I381" t="str">
            <v>Nathaly Allcca</v>
          </cell>
          <cell r="J381" t="str">
            <v>En Proceso</v>
          </cell>
          <cell r="K381">
            <v>46035</v>
          </cell>
        </row>
        <row r="382">
          <cell r="B382" t="str">
            <v>TX_CRA2026_235</v>
          </cell>
          <cell r="C382" t="str">
            <v>0101903_LO_Municipalidad_Belen to 0101952_LO_Aviacion_Iquitos</v>
          </cell>
          <cell r="D382" t="str">
            <v>M0825</v>
          </cell>
          <cell r="E382" t="str">
            <v>CRA MOVIL ADELANTO Q1 2026</v>
          </cell>
          <cell r="F382" t="str">
            <v>Vulnerabilidad</v>
          </cell>
          <cell r="G382">
            <v>2026</v>
          </cell>
          <cell r="I382" t="str">
            <v>Nathaly Allcca</v>
          </cell>
          <cell r="J382" t="str">
            <v>En Proceso</v>
          </cell>
          <cell r="K382">
            <v>46035</v>
          </cell>
        </row>
        <row r="383">
          <cell r="B383" t="str">
            <v>TX_CRA2026_236</v>
          </cell>
          <cell r="C383" t="str">
            <v>0100016_LM_Santa_Anita to 0105077_LM_Fortaleza_Vitarte</v>
          </cell>
          <cell r="D383" t="str">
            <v>M0850</v>
          </cell>
          <cell r="E383" t="str">
            <v>CRA MOVIL 2026</v>
          </cell>
          <cell r="F383" t="str">
            <v>Vulnerabilidad</v>
          </cell>
          <cell r="G383">
            <v>2026</v>
          </cell>
          <cell r="I383" t="str">
            <v>Nathaly Allcca</v>
          </cell>
          <cell r="J383" t="str">
            <v>En Proceso</v>
          </cell>
          <cell r="K383">
            <v>46035</v>
          </cell>
        </row>
        <row r="384">
          <cell r="B384" t="str">
            <v>TX_CRA2026_237</v>
          </cell>
          <cell r="C384" t="str">
            <v>0100051_LM_Priale to 0100562_LM_Ocho_Campoy</v>
          </cell>
          <cell r="D384" t="str">
            <v>M0850</v>
          </cell>
          <cell r="E384" t="str">
            <v>CRA MOVIL 2026</v>
          </cell>
          <cell r="F384" t="str">
            <v>Vulnerabilidad</v>
          </cell>
          <cell r="G384">
            <v>2026</v>
          </cell>
          <cell r="I384" t="str">
            <v>Nathaly Allcca</v>
          </cell>
          <cell r="J384" t="str">
            <v>No RFI</v>
          </cell>
          <cell r="K384">
            <v>46035</v>
          </cell>
        </row>
        <row r="385">
          <cell r="B385" t="str">
            <v>TX_CRA2026_238</v>
          </cell>
          <cell r="C385" t="str">
            <v>0100289_LM_Castro_Castro to 0105565_LM_San_Gabriel_Sjl</v>
          </cell>
          <cell r="D385" t="str">
            <v>M0850</v>
          </cell>
          <cell r="E385" t="str">
            <v>CRA MOVIL 2026</v>
          </cell>
          <cell r="F385" t="str">
            <v>Vulnerabilidad</v>
          </cell>
          <cell r="G385">
            <v>2026</v>
          </cell>
          <cell r="I385" t="str">
            <v>Nathaly Allcca</v>
          </cell>
          <cell r="J385" t="str">
            <v>No RFI</v>
          </cell>
          <cell r="K385">
            <v>46035</v>
          </cell>
        </row>
        <row r="386">
          <cell r="B386" t="str">
            <v>TX_CRA2026_239</v>
          </cell>
          <cell r="C386" t="str">
            <v>0100499_LM_Huarochiri to 0106128_LM_Sapotal</v>
          </cell>
          <cell r="D386" t="str">
            <v>M0850</v>
          </cell>
          <cell r="E386" t="str">
            <v>CRA MOVIL 2026</v>
          </cell>
          <cell r="F386" t="str">
            <v>Vulnerabilidad</v>
          </cell>
          <cell r="G386">
            <v>2026</v>
          </cell>
          <cell r="I386" t="str">
            <v>Nathaly Allcca</v>
          </cell>
          <cell r="J386" t="str">
            <v>En Proceso</v>
          </cell>
          <cell r="K386">
            <v>46035</v>
          </cell>
        </row>
        <row r="387">
          <cell r="B387" t="str">
            <v>TX_CRA2026_240</v>
          </cell>
          <cell r="C387" t="str">
            <v>0100016_LM_Santa_Anita to 0104714_LM_Alpes</v>
          </cell>
          <cell r="D387" t="str">
            <v>M0850</v>
          </cell>
          <cell r="E387" t="str">
            <v>CRA MOVIL 2026</v>
          </cell>
          <cell r="F387" t="str">
            <v>Vulnerabilidad</v>
          </cell>
          <cell r="G387">
            <v>2026</v>
          </cell>
          <cell r="I387" t="str">
            <v>Nathaly Allcca</v>
          </cell>
          <cell r="J387" t="str">
            <v>No RFI</v>
          </cell>
          <cell r="K387">
            <v>46035</v>
          </cell>
        </row>
        <row r="388">
          <cell r="B388" t="str">
            <v>TX_CRA2026_247</v>
          </cell>
          <cell r="C388" t="str">
            <v>0100356_LM_Chimpu_Ocllo to 0105438_LM_Parque_No_Me_Olvide</v>
          </cell>
          <cell r="D388" t="str">
            <v>M0850</v>
          </cell>
          <cell r="E388" t="str">
            <v>CRA MOVIL 2026</v>
          </cell>
          <cell r="F388" t="str">
            <v>Vulnerabilidad</v>
          </cell>
          <cell r="G388">
            <v>2026</v>
          </cell>
          <cell r="I388" t="str">
            <v>Nathaly Allcca</v>
          </cell>
          <cell r="J388" t="str">
            <v>No RFI</v>
          </cell>
          <cell r="K388">
            <v>46035</v>
          </cell>
        </row>
        <row r="389">
          <cell r="B389" t="str">
            <v>TX_CRA2026_260</v>
          </cell>
          <cell r="C389" t="str">
            <v>0105252_LM_Los_Parques_Carabay to 010254767_LM_Paraiso_San_Lorenzo</v>
          </cell>
          <cell r="D389" t="str">
            <v>M0850</v>
          </cell>
          <cell r="E389" t="str">
            <v>CRA MOVIL 2026</v>
          </cell>
          <cell r="F389" t="str">
            <v>Vulnerabilidad</v>
          </cell>
          <cell r="G389">
            <v>2026</v>
          </cell>
          <cell r="I389" t="str">
            <v>Nathaly Allcca</v>
          </cell>
          <cell r="J389" t="str">
            <v>No RFI</v>
          </cell>
          <cell r="K389">
            <v>46035</v>
          </cell>
        </row>
        <row r="390">
          <cell r="B390" t="str">
            <v>TX_CRA2026_261</v>
          </cell>
          <cell r="C390" t="str">
            <v>0100014_LM_Abtao to 0100329_LM_Cangallo</v>
          </cell>
          <cell r="D390" t="str">
            <v>M0850</v>
          </cell>
          <cell r="E390" t="str">
            <v>CRA MOVIL 2026</v>
          </cell>
          <cell r="F390" t="str">
            <v>Vulnerabilidad</v>
          </cell>
          <cell r="G390">
            <v>2026</v>
          </cell>
          <cell r="I390" t="str">
            <v>Nathaly Allcca</v>
          </cell>
          <cell r="J390" t="str">
            <v>No RFI</v>
          </cell>
          <cell r="K390">
            <v>46035</v>
          </cell>
        </row>
        <row r="391">
          <cell r="B391" t="str">
            <v>TX_CRA2026_262</v>
          </cell>
          <cell r="C391" t="str">
            <v>010251392_LM_Amauta_R1 to 0105597_LM_Dinamarca</v>
          </cell>
          <cell r="D391" t="str">
            <v>M0850</v>
          </cell>
          <cell r="E391" t="str">
            <v>CRA MOVIL 2026</v>
          </cell>
          <cell r="F391" t="str">
            <v>Vulnerabilidad</v>
          </cell>
          <cell r="G391">
            <v>2026</v>
          </cell>
          <cell r="I391" t="str">
            <v>Nathaly Allcca</v>
          </cell>
          <cell r="J391" t="str">
            <v>En Proceso</v>
          </cell>
          <cell r="K391">
            <v>46035</v>
          </cell>
        </row>
        <row r="392">
          <cell r="B392" t="str">
            <v>TX_CRA2026_266</v>
          </cell>
          <cell r="C392" t="str">
            <v>0100503_LM_Mun_Los_Olivos to 0101378_LM_Los_Marmoles</v>
          </cell>
          <cell r="D392" t="str">
            <v>M0850</v>
          </cell>
          <cell r="E392" t="str">
            <v>CRA MOVIL 2026</v>
          </cell>
          <cell r="F392" t="str">
            <v>Vulnerabilidad</v>
          </cell>
          <cell r="G392">
            <v>2026</v>
          </cell>
          <cell r="I392" t="str">
            <v>Nathaly Allcca</v>
          </cell>
          <cell r="J392" t="str">
            <v>En Proceso</v>
          </cell>
          <cell r="K392">
            <v>46035</v>
          </cell>
        </row>
        <row r="393">
          <cell r="B393" t="str">
            <v>TX_CRA2026_267</v>
          </cell>
          <cell r="C393" t="str">
            <v xml:space="preserve">0103966_AQ_Yura_Centro_0104658_AQ_El_Chaparral </v>
          </cell>
          <cell r="D393" t="str">
            <v>M0850</v>
          </cell>
          <cell r="E393" t="str">
            <v>CRA MOVIL 2026</v>
          </cell>
          <cell r="F393" t="str">
            <v>Vulnerabilidad</v>
          </cell>
          <cell r="G393">
            <v>2026</v>
          </cell>
          <cell r="I393" t="str">
            <v>Nathaly Allcca</v>
          </cell>
          <cell r="J393" t="str">
            <v>Con RQ</v>
          </cell>
          <cell r="K393">
            <v>46035</v>
          </cell>
        </row>
        <row r="394">
          <cell r="B394" t="str">
            <v>TX_CRA2026_268</v>
          </cell>
          <cell r="C394" t="str">
            <v>0103928_AQ_Villa_Belaunde_0103935_AQ_La_Tomilla</v>
          </cell>
          <cell r="D394" t="str">
            <v>M0850</v>
          </cell>
          <cell r="E394" t="str">
            <v>CRA MOVIL 2026</v>
          </cell>
          <cell r="F394" t="str">
            <v>Vulnerabilidad</v>
          </cell>
          <cell r="G394">
            <v>2026</v>
          </cell>
          <cell r="I394" t="str">
            <v>Nathaly Allcca</v>
          </cell>
          <cell r="J394" t="str">
            <v>Con RQ</v>
          </cell>
          <cell r="K394">
            <v>46035</v>
          </cell>
        </row>
        <row r="395">
          <cell r="B395" t="str">
            <v>TX_CRA2026_269</v>
          </cell>
          <cell r="C395" t="str">
            <v>0100958_AQ_Carrion_Castilla_0103935_AQ_La_Tomilla</v>
          </cell>
          <cell r="D395" t="str">
            <v>M0850</v>
          </cell>
          <cell r="E395" t="str">
            <v>CRA MOVIL 2026</v>
          </cell>
          <cell r="F395" t="str">
            <v>Vulnerabilidad</v>
          </cell>
          <cell r="G395">
            <v>2026</v>
          </cell>
          <cell r="I395" t="str">
            <v>Nathaly Allcca</v>
          </cell>
          <cell r="J395" t="str">
            <v>Con RQ</v>
          </cell>
          <cell r="K395">
            <v>46035</v>
          </cell>
        </row>
        <row r="396">
          <cell r="B396" t="str">
            <v>TX_CRA2026_270</v>
          </cell>
          <cell r="C396" t="str">
            <v>0105959_LM_Boulevard_Mayo to 0100569_LM_Mercado_Unicachi</v>
          </cell>
          <cell r="D396" t="str">
            <v>M0850</v>
          </cell>
          <cell r="E396" t="str">
            <v>CRA MOVIL 2026</v>
          </cell>
          <cell r="F396" t="str">
            <v>Vulnerabilidad</v>
          </cell>
          <cell r="G396">
            <v>2026</v>
          </cell>
          <cell r="I396" t="str">
            <v>Nathaly Allcca</v>
          </cell>
          <cell r="J396" t="str">
            <v>No RFI</v>
          </cell>
          <cell r="K396">
            <v>46035</v>
          </cell>
        </row>
        <row r="397">
          <cell r="B397" t="str">
            <v>TX_CRA2026_271</v>
          </cell>
          <cell r="C397" t="str">
            <v>0100482_LM_Delicias to 010254717_LM_Av_Parque_Zonal</v>
          </cell>
          <cell r="D397" t="str">
            <v>M0850</v>
          </cell>
          <cell r="E397" t="str">
            <v>CRA MOVIL 2026</v>
          </cell>
          <cell r="F397" t="str">
            <v>Vulnerabilidad</v>
          </cell>
          <cell r="G397">
            <v>2026</v>
          </cell>
          <cell r="I397" t="str">
            <v>Nathaly Allcca</v>
          </cell>
          <cell r="J397" t="str">
            <v>No RFI</v>
          </cell>
          <cell r="K397">
            <v>46035</v>
          </cell>
        </row>
        <row r="398">
          <cell r="B398" t="str">
            <v>TX_CRA2026_272</v>
          </cell>
          <cell r="C398" t="str">
            <v>0101644_JU_Husares to 0103046_JU_Cesar_Vallejo</v>
          </cell>
          <cell r="D398" t="str">
            <v>M0850</v>
          </cell>
          <cell r="E398" t="str">
            <v>CRA MOVIL 2026</v>
          </cell>
          <cell r="F398" t="str">
            <v>Vulnerabilidad</v>
          </cell>
          <cell r="G398">
            <v>2026</v>
          </cell>
          <cell r="I398" t="str">
            <v>Nathaly Allcca</v>
          </cell>
          <cell r="J398" t="str">
            <v>No RFI</v>
          </cell>
          <cell r="K398">
            <v>46035</v>
          </cell>
        </row>
        <row r="399">
          <cell r="B399" t="str">
            <v>TX_CRA2026_273</v>
          </cell>
          <cell r="C399" t="str">
            <v>0100254_LM_Mercado_Mayorista to 010250711_LM_Los_Collas_R1</v>
          </cell>
          <cell r="D399" t="str">
            <v>M0850</v>
          </cell>
          <cell r="E399" t="str">
            <v>CRA MOVIL 2026</v>
          </cell>
          <cell r="F399" t="str">
            <v>Vulnerabilidad</v>
          </cell>
          <cell r="G399">
            <v>2026</v>
          </cell>
          <cell r="I399" t="str">
            <v>Nathaly Allcca</v>
          </cell>
          <cell r="J399" t="str">
            <v>En Proceso</v>
          </cell>
          <cell r="K399">
            <v>46035</v>
          </cell>
        </row>
        <row r="400">
          <cell r="B400" t="str">
            <v>TX_CRA2026_274</v>
          </cell>
          <cell r="C400" t="str">
            <v>0100268_LM_Tallanes to 0105224_LM_La_Tapada</v>
          </cell>
          <cell r="D400" t="str">
            <v>M0850</v>
          </cell>
          <cell r="E400" t="str">
            <v>CRA MOVIL 2026</v>
          </cell>
          <cell r="F400" t="str">
            <v>Vulnerabilidad</v>
          </cell>
          <cell r="G400">
            <v>2026</v>
          </cell>
          <cell r="I400" t="str">
            <v>Nathaly Allcca</v>
          </cell>
          <cell r="J400" t="str">
            <v>En Proceso</v>
          </cell>
          <cell r="K400">
            <v>46035</v>
          </cell>
        </row>
        <row r="401">
          <cell r="B401" t="str">
            <v>TX_CRA2026_275</v>
          </cell>
          <cell r="C401" t="str">
            <v>0100255_LM_Los_Ruisenores to 0102770_LM_Los_Molinos_R1</v>
          </cell>
          <cell r="D401" t="str">
            <v>M0850</v>
          </cell>
          <cell r="E401" t="str">
            <v>CRA MOVIL 2026</v>
          </cell>
          <cell r="F401" t="str">
            <v>Vulnerabilidad</v>
          </cell>
          <cell r="G401">
            <v>2026</v>
          </cell>
          <cell r="I401" t="str">
            <v>Nathaly Allcca</v>
          </cell>
          <cell r="J401" t="str">
            <v>En Proceso</v>
          </cell>
          <cell r="K401">
            <v>46035</v>
          </cell>
        </row>
        <row r="402">
          <cell r="B402" t="str">
            <v>TX_CRA2026_276</v>
          </cell>
          <cell r="C402" t="str">
            <v>0100940_AQ_UNSA to 0104087_AQ_Tacna_Y_Arica</v>
          </cell>
          <cell r="D402" t="str">
            <v>M0850</v>
          </cell>
          <cell r="E402" t="str">
            <v>CRA MOVIL 2026</v>
          </cell>
          <cell r="F402" t="str">
            <v>Vulnerabilidad</v>
          </cell>
          <cell r="G402">
            <v>2026</v>
          </cell>
          <cell r="I402" t="str">
            <v>Nathaly Allcca</v>
          </cell>
          <cell r="J402" t="str">
            <v>No RFI</v>
          </cell>
          <cell r="K402">
            <v>46035</v>
          </cell>
        </row>
        <row r="403">
          <cell r="B403" t="str">
            <v>TX_CRA2026_277</v>
          </cell>
          <cell r="C403" t="str">
            <v>0105497_LM_Kallpa_Pachacutec to 0104718_LM_Bahia_Azul</v>
          </cell>
          <cell r="D403" t="str">
            <v>M0850</v>
          </cell>
          <cell r="E403" t="str">
            <v>CRA MOVIL 2026</v>
          </cell>
          <cell r="F403" t="str">
            <v>Vulnerabilidad</v>
          </cell>
          <cell r="G403">
            <v>2026</v>
          </cell>
          <cell r="I403" t="str">
            <v>Nathaly Allcca</v>
          </cell>
          <cell r="J403" t="str">
            <v>No RFI</v>
          </cell>
          <cell r="K403">
            <v>46035</v>
          </cell>
        </row>
        <row r="404">
          <cell r="B404" t="str">
            <v>TX_CRA2026_278</v>
          </cell>
          <cell r="C404" t="str">
            <v>0101721_PI_Basadre_Piura to 0101749_PI_Corbeta_Union</v>
          </cell>
          <cell r="D404" t="str">
            <v>M0850</v>
          </cell>
          <cell r="E404" t="str">
            <v>CRA MOVIL 2026</v>
          </cell>
          <cell r="F404" t="str">
            <v>Vulnerabilidad</v>
          </cell>
          <cell r="G404">
            <v>2026</v>
          </cell>
          <cell r="I404" t="str">
            <v>Nathaly Allcca</v>
          </cell>
          <cell r="J404" t="str">
            <v>No RFI</v>
          </cell>
          <cell r="K404">
            <v>46035</v>
          </cell>
        </row>
        <row r="405">
          <cell r="B405" t="str">
            <v>TX_CRA2026_279</v>
          </cell>
          <cell r="C405" t="str">
            <v>0101704_PI_Piura_Centro to 0101788_PI_Vicus</v>
          </cell>
          <cell r="D405" t="str">
            <v>M0850</v>
          </cell>
          <cell r="E405" t="str">
            <v>CRA MOVIL 2026</v>
          </cell>
          <cell r="F405" t="str">
            <v>Vulnerabilidad</v>
          </cell>
          <cell r="G405">
            <v>2026</v>
          </cell>
          <cell r="I405" t="str">
            <v>Nathaly Allcca</v>
          </cell>
          <cell r="J405" t="str">
            <v>No RFI</v>
          </cell>
          <cell r="K405">
            <v>46035</v>
          </cell>
        </row>
        <row r="406">
          <cell r="B406" t="str">
            <v>TX_CRA2026_280</v>
          </cell>
          <cell r="C406" t="str">
            <v>0100643_LI_Trujillo_Norte to 0104147_LI_Esperanza_Baja</v>
          </cell>
          <cell r="D406" t="str">
            <v>M0850</v>
          </cell>
          <cell r="E406" t="str">
            <v>CRA MOVIL 2026</v>
          </cell>
          <cell r="F406" t="str">
            <v>Vulnerabilidad</v>
          </cell>
          <cell r="G406">
            <v>2026</v>
          </cell>
          <cell r="I406" t="str">
            <v>Nathaly Allcca</v>
          </cell>
          <cell r="J406" t="str">
            <v>En Proceso</v>
          </cell>
          <cell r="K406">
            <v>46035</v>
          </cell>
        </row>
        <row r="407">
          <cell r="B407" t="str">
            <v>TX_CRA2026_281</v>
          </cell>
          <cell r="C407" t="str">
            <v>0100607_LI_Husares_de_Junin to 0104127_LI_Los_Incas_Trujillo</v>
          </cell>
          <cell r="D407" t="str">
            <v>M0850</v>
          </cell>
          <cell r="E407" t="str">
            <v>CRA MOVIL 2026</v>
          </cell>
          <cell r="F407" t="str">
            <v>Vulnerabilidad</v>
          </cell>
          <cell r="G407">
            <v>2026</v>
          </cell>
          <cell r="I407" t="str">
            <v>Nathaly Allcca</v>
          </cell>
          <cell r="J407" t="str">
            <v>En Proceso</v>
          </cell>
          <cell r="K407">
            <v>46035</v>
          </cell>
        </row>
        <row r="408">
          <cell r="B408" t="str">
            <v>TX_CRA2026_282</v>
          </cell>
          <cell r="C408" t="str">
            <v>0100625_LI_Alto_Trujillo to 0104706_LI_Jehova_Jireh</v>
          </cell>
          <cell r="D408" t="str">
            <v>M0850</v>
          </cell>
          <cell r="E408" t="str">
            <v>CRA MOVIL 2026</v>
          </cell>
          <cell r="F408" t="str">
            <v>Vulnerabilidad</v>
          </cell>
          <cell r="G408">
            <v>2026</v>
          </cell>
          <cell r="I408" t="str">
            <v>Nathaly Allcca</v>
          </cell>
          <cell r="J408" t="str">
            <v>En Proceso</v>
          </cell>
          <cell r="K408">
            <v>46035</v>
          </cell>
        </row>
        <row r="409">
          <cell r="B409" t="str">
            <v>TX_CRA2026_283</v>
          </cell>
          <cell r="C409" t="str">
            <v>0100136_LM_Bolivia to 0104577_LM_Aguarico_R1</v>
          </cell>
          <cell r="D409" t="str">
            <v>M0850</v>
          </cell>
          <cell r="E409" t="str">
            <v>CRA MOVIL 2026</v>
          </cell>
          <cell r="F409" t="str">
            <v>Vulnerabilidad</v>
          </cell>
          <cell r="G409">
            <v>2026</v>
          </cell>
          <cell r="I409" t="str">
            <v>Nathaly Allcca</v>
          </cell>
          <cell r="J409" t="str">
            <v>No RFI</v>
          </cell>
          <cell r="K409">
            <v>46035</v>
          </cell>
        </row>
        <row r="410">
          <cell r="B410" t="str">
            <v>TX_CRA2026_284</v>
          </cell>
          <cell r="C410" t="str">
            <v>0100040_LM_Wilson to 0105589_LM_Oechsle</v>
          </cell>
          <cell r="D410" t="str">
            <v>M0850</v>
          </cell>
          <cell r="E410" t="str">
            <v>CRA MOVIL 2026</v>
          </cell>
          <cell r="F410" t="str">
            <v>Vulnerabilidad</v>
          </cell>
          <cell r="G410">
            <v>2026</v>
          </cell>
          <cell r="I410" t="str">
            <v>Nathaly Allcca</v>
          </cell>
          <cell r="J410" t="str">
            <v>No RFI</v>
          </cell>
          <cell r="K410">
            <v>46035</v>
          </cell>
        </row>
        <row r="411">
          <cell r="B411" t="str">
            <v>TX_CRA2026_285</v>
          </cell>
          <cell r="C411" t="str">
            <v>010234411_LI_Rosas_Del_Valle to 0100678_LI_Huertos_Norte</v>
          </cell>
          <cell r="D411" t="str">
            <v>M0850</v>
          </cell>
          <cell r="E411" t="str">
            <v>CRA MOVIL 2026</v>
          </cell>
          <cell r="F411" t="str">
            <v>Vulnerabilidad</v>
          </cell>
          <cell r="G411">
            <v>2026</v>
          </cell>
          <cell r="I411" t="str">
            <v>Nathaly Allcca</v>
          </cell>
          <cell r="J411" t="str">
            <v>No RFI</v>
          </cell>
          <cell r="K411">
            <v>46035</v>
          </cell>
        </row>
        <row r="412">
          <cell r="B412" t="str">
            <v>TX_CRA2026_286</v>
          </cell>
          <cell r="C412" t="str">
            <v>0101007_LA_Paseo_de_los_Hero to 0101036_LA_Elvira_Garcia_Garci</v>
          </cell>
          <cell r="D412" t="str">
            <v>M0850</v>
          </cell>
          <cell r="E412" t="str">
            <v>CRA MOVIL 2026</v>
          </cell>
          <cell r="F412" t="str">
            <v>Vulnerabilidad</v>
          </cell>
          <cell r="G412">
            <v>2026</v>
          </cell>
          <cell r="I412" t="str">
            <v>Nathaly Allcca</v>
          </cell>
          <cell r="J412" t="str">
            <v>No RFI</v>
          </cell>
          <cell r="K412">
            <v>46035</v>
          </cell>
        </row>
        <row r="413">
          <cell r="B413" t="str">
            <v>TX_CRA2026_287</v>
          </cell>
          <cell r="C413" t="str">
            <v>0101007_LA_Paseo_de_los_Hero to 0101031_LA_Cruz_De_La_Esperanz</v>
          </cell>
          <cell r="D413" t="str">
            <v>M0850</v>
          </cell>
          <cell r="E413" t="str">
            <v>CRA MOVIL 2026</v>
          </cell>
          <cell r="F413" t="str">
            <v>Vulnerabilidad</v>
          </cell>
          <cell r="G413">
            <v>2026</v>
          </cell>
          <cell r="I413" t="str">
            <v>Nathaly Allcca</v>
          </cell>
          <cell r="J413" t="str">
            <v>No RFI</v>
          </cell>
          <cell r="K413">
            <v>46035</v>
          </cell>
        </row>
        <row r="414">
          <cell r="B414" t="str">
            <v>TX_CRA2026_288</v>
          </cell>
          <cell r="C414" t="str">
            <v>0105657_LM_Central_Independenc to 0101034_LM_Lima_Plaza_Norte</v>
          </cell>
          <cell r="D414" t="str">
            <v>M0850</v>
          </cell>
          <cell r="E414" t="str">
            <v>CRA MOVIL 2026</v>
          </cell>
          <cell r="F414" t="str">
            <v>Vulnerabilidad</v>
          </cell>
          <cell r="G414">
            <v>2026</v>
          </cell>
          <cell r="I414" t="str">
            <v>Nathaly Allcca</v>
          </cell>
          <cell r="J414" t="str">
            <v>En Proceso</v>
          </cell>
          <cell r="K414">
            <v>46035</v>
          </cell>
        </row>
        <row r="415">
          <cell r="B415" t="str">
            <v>TX_CRA2026_289</v>
          </cell>
          <cell r="C415" t="str">
            <v>0100002_LM_Nuevo_Comas to 0105444_LM_Tanque_Comas</v>
          </cell>
          <cell r="D415" t="str">
            <v>M0850</v>
          </cell>
          <cell r="E415" t="str">
            <v>CRA MOVIL 2026</v>
          </cell>
          <cell r="F415" t="str">
            <v>Vulnerabilidad</v>
          </cell>
          <cell r="G415">
            <v>2026</v>
          </cell>
          <cell r="I415" t="str">
            <v>Nathaly Allcca</v>
          </cell>
          <cell r="J415" t="str">
            <v>No RFI</v>
          </cell>
          <cell r="K415">
            <v>46035</v>
          </cell>
        </row>
        <row r="416">
          <cell r="B416" t="str">
            <v>TX_CRA2026_290</v>
          </cell>
          <cell r="C416" t="str">
            <v>0101005_LA_Chinchaysuyo to 0101076_LA_Campodonico</v>
          </cell>
          <cell r="D416" t="str">
            <v>M0850</v>
          </cell>
          <cell r="E416" t="str">
            <v>CRA MOVIL 2026</v>
          </cell>
          <cell r="F416" t="str">
            <v>Vulnerabilidad</v>
          </cell>
          <cell r="G416">
            <v>2026</v>
          </cell>
          <cell r="I416" t="str">
            <v>Nathaly Allcca</v>
          </cell>
          <cell r="J416" t="str">
            <v>No RFI</v>
          </cell>
          <cell r="K416">
            <v>46035</v>
          </cell>
        </row>
        <row r="417">
          <cell r="B417" t="str">
            <v>TX_CRA2026_291</v>
          </cell>
          <cell r="C417" t="str">
            <v>0103082_JU_El_Tambo_R1 to 0101692_JU_San_Agustin_De_Caja</v>
          </cell>
          <cell r="D417" t="str">
            <v>M0850</v>
          </cell>
          <cell r="E417" t="str">
            <v>CRA MOVIL 2026</v>
          </cell>
          <cell r="F417" t="str">
            <v>Vulnerabilidad</v>
          </cell>
          <cell r="G417">
            <v>2026</v>
          </cell>
          <cell r="I417" t="str">
            <v>Nathaly Allcca</v>
          </cell>
          <cell r="J417" t="str">
            <v>En Proceso</v>
          </cell>
          <cell r="K417">
            <v>46035</v>
          </cell>
        </row>
        <row r="418">
          <cell r="B418" t="str">
            <v>TX_CRA2026_292</v>
          </cell>
          <cell r="C418" t="str">
            <v>0100610_LI_El_Porvenir to 0104120_LI_Aguilar</v>
          </cell>
          <cell r="D418" t="str">
            <v>M0850</v>
          </cell>
          <cell r="E418" t="str">
            <v>CRA MOVIL 2026</v>
          </cell>
          <cell r="F418" t="str">
            <v>Vulnerabilidad</v>
          </cell>
          <cell r="G418">
            <v>2026</v>
          </cell>
          <cell r="I418" t="str">
            <v>Nathaly Allcca</v>
          </cell>
          <cell r="J418" t="str">
            <v>En Proceso</v>
          </cell>
          <cell r="K418">
            <v>46035</v>
          </cell>
        </row>
        <row r="419">
          <cell r="B419" t="str">
            <v>TX_CRA2026_293</v>
          </cell>
          <cell r="C419" t="str">
            <v>0101008_LA_Moshoqueque to 0101066_LA_7_de_Enero</v>
          </cell>
          <cell r="D419" t="str">
            <v>M0850</v>
          </cell>
          <cell r="E419" t="str">
            <v>CRA MOVIL 2026</v>
          </cell>
          <cell r="F419" t="str">
            <v>Vulnerabilidad</v>
          </cell>
          <cell r="G419">
            <v>2026</v>
          </cell>
          <cell r="I419" t="str">
            <v>Nathaly Allcca</v>
          </cell>
          <cell r="J419" t="str">
            <v>En Proceso</v>
          </cell>
          <cell r="K419">
            <v>46035</v>
          </cell>
        </row>
        <row r="420">
          <cell r="B420" t="str">
            <v>TX_CRA2026_294</v>
          </cell>
          <cell r="C420" t="str">
            <v>0100392_LM_Puerto_Viejo_0100390_LM_Quipa</v>
          </cell>
          <cell r="D420" t="str">
            <v>M0850</v>
          </cell>
          <cell r="E420" t="str">
            <v>CRA MOVIL 2026</v>
          </cell>
          <cell r="F420" t="str">
            <v>Vulnerabilidad</v>
          </cell>
          <cell r="G420">
            <v>2026</v>
          </cell>
          <cell r="I420" t="str">
            <v>Nathaly Allcca</v>
          </cell>
          <cell r="J420" t="str">
            <v>No RFI</v>
          </cell>
          <cell r="K420">
            <v>46035</v>
          </cell>
        </row>
        <row r="421">
          <cell r="B421" t="str">
            <v>TX_CRA2026_295</v>
          </cell>
          <cell r="C421" t="str">
            <v>0100312_LM_Huaycan to 0105005_LM_Huaycan_Zona_H</v>
          </cell>
          <cell r="D421" t="str">
            <v>M0850</v>
          </cell>
          <cell r="E421" t="str">
            <v>CRA MOVIL 2026</v>
          </cell>
          <cell r="F421" t="str">
            <v>Vulnerabilidad</v>
          </cell>
          <cell r="G421">
            <v>2026</v>
          </cell>
          <cell r="I421" t="str">
            <v>Nathaly Allcca</v>
          </cell>
          <cell r="J421" t="str">
            <v>No RFI</v>
          </cell>
          <cell r="K421">
            <v>46035</v>
          </cell>
        </row>
        <row r="422">
          <cell r="B422" t="str">
            <v>TX_CRA2026_296</v>
          </cell>
          <cell r="C422" t="str">
            <v>0101489_PN_Triunfo_Juliaca to 0103940_PN_Vitupata_R1</v>
          </cell>
          <cell r="D422" t="str">
            <v>M0850</v>
          </cell>
          <cell r="E422" t="str">
            <v>CRA MOVIL 2026</v>
          </cell>
          <cell r="F422" t="str">
            <v>Vulnerabilidad</v>
          </cell>
          <cell r="G422">
            <v>2026</v>
          </cell>
          <cell r="I422" t="str">
            <v>Nathaly Allcca</v>
          </cell>
          <cell r="J422" t="str">
            <v>No RFI</v>
          </cell>
          <cell r="K422">
            <v>46035</v>
          </cell>
        </row>
        <row r="423">
          <cell r="B423" t="str">
            <v>TX_CRA2026_297</v>
          </cell>
          <cell r="C423" t="str">
            <v>0103755_AY_Nuevo_PPJJ_Acuchima to 0103707_AY_Est_Ciudad_De_Cuman</v>
          </cell>
          <cell r="D423" t="str">
            <v>M0850</v>
          </cell>
          <cell r="E423" t="str">
            <v>CRA MOVIL 2026</v>
          </cell>
          <cell r="F423" t="str">
            <v>Vulnerabilidad</v>
          </cell>
          <cell r="G423">
            <v>2026</v>
          </cell>
          <cell r="I423" t="str">
            <v>Nathaly Allcca</v>
          </cell>
          <cell r="J423" t="str">
            <v>En Proceso</v>
          </cell>
          <cell r="K423">
            <v>46035</v>
          </cell>
        </row>
        <row r="424">
          <cell r="B424" t="str">
            <v>TX_CRA2026_298</v>
          </cell>
          <cell r="C424" t="str">
            <v>0101283_TA_Terminal_Coyasullo to 0103696_TA_Pasaje_Industrial</v>
          </cell>
          <cell r="D424" t="str">
            <v>M0850</v>
          </cell>
          <cell r="E424" t="str">
            <v>CRA MOVIL 2026</v>
          </cell>
          <cell r="F424" t="str">
            <v>Vulnerabilidad</v>
          </cell>
          <cell r="G424">
            <v>2026</v>
          </cell>
          <cell r="I424" t="str">
            <v>Nathaly Allcca</v>
          </cell>
          <cell r="J424" t="str">
            <v>En Proceso</v>
          </cell>
          <cell r="K424">
            <v>46035</v>
          </cell>
        </row>
        <row r="425">
          <cell r="B425" t="str">
            <v>TX_CRA2026_299</v>
          </cell>
          <cell r="C425" t="str">
            <v>0100071_LM_Las_Lilas to 0104177_LM_Puente_Quinones_R1</v>
          </cell>
          <cell r="D425" t="str">
            <v>M0850</v>
          </cell>
          <cell r="E425" t="str">
            <v>CRA MOVIL 2026</v>
          </cell>
          <cell r="F425" t="str">
            <v>Vulnerabilidad</v>
          </cell>
          <cell r="G425">
            <v>2026</v>
          </cell>
          <cell r="I425" t="str">
            <v>Nathaly Allcca</v>
          </cell>
          <cell r="J425" t="str">
            <v>En Proceso</v>
          </cell>
          <cell r="K425">
            <v>46035</v>
          </cell>
        </row>
        <row r="426">
          <cell r="B426" t="str">
            <v>TX_CRA2026_300</v>
          </cell>
          <cell r="C426" t="str">
            <v>0100120_LM_Jose_Galvez to 0105751_LM_Mantaro_Galvez</v>
          </cell>
          <cell r="D426" t="str">
            <v>M0850</v>
          </cell>
          <cell r="E426" t="str">
            <v>CRA MOVIL 2026</v>
          </cell>
          <cell r="F426" t="str">
            <v>Vulnerabilidad</v>
          </cell>
          <cell r="G426">
            <v>2026</v>
          </cell>
          <cell r="I426" t="str">
            <v>Nathaly Allcca</v>
          </cell>
          <cell r="J426" t="str">
            <v>En Proceso</v>
          </cell>
          <cell r="K426">
            <v>46035</v>
          </cell>
        </row>
        <row r="427">
          <cell r="B427" t="str">
            <v>TX_CRA2026_301</v>
          </cell>
          <cell r="C427" t="str">
            <v>0106188_LM_Kamana_Villa to 0105158_LM_Villa_Alejandro</v>
          </cell>
          <cell r="D427" t="str">
            <v>M0850</v>
          </cell>
          <cell r="E427" t="str">
            <v>CRA MOVIL 2026</v>
          </cell>
          <cell r="F427" t="str">
            <v>Vulnerabilidad</v>
          </cell>
          <cell r="G427">
            <v>2026</v>
          </cell>
          <cell r="I427" t="str">
            <v>Nathaly Allcca</v>
          </cell>
          <cell r="J427" t="str">
            <v>En Proceso</v>
          </cell>
          <cell r="K427">
            <v>46035</v>
          </cell>
        </row>
        <row r="428">
          <cell r="B428" t="str">
            <v>TX_CRA2026_302</v>
          </cell>
          <cell r="C428" t="str">
            <v>0100821_IC_Ayabaca to 0100868_IC_Geronimo_Cabrera</v>
          </cell>
          <cell r="D428" t="str">
            <v>M0850</v>
          </cell>
          <cell r="E428" t="str">
            <v>CRA MOVIL 2026</v>
          </cell>
          <cell r="F428" t="str">
            <v>Vulnerabilidad</v>
          </cell>
          <cell r="G428">
            <v>2026</v>
          </cell>
          <cell r="I428" t="str">
            <v>Nathaly Allcca</v>
          </cell>
          <cell r="J428" t="str">
            <v>No RFI</v>
          </cell>
          <cell r="K428">
            <v>46035</v>
          </cell>
        </row>
        <row r="429">
          <cell r="B429" t="str">
            <v>TX_CRA2026_303</v>
          </cell>
          <cell r="C429" t="str">
            <v>0105599_LM_Puente_Nuevo_0104549_LM_Nuevo_Lurigancho</v>
          </cell>
          <cell r="D429" t="str">
            <v>M0850</v>
          </cell>
          <cell r="E429" t="str">
            <v>CRA MOVIL 2026</v>
          </cell>
          <cell r="F429" t="str">
            <v>Vulnerabilidad</v>
          </cell>
          <cell r="G429">
            <v>2026</v>
          </cell>
          <cell r="I429" t="str">
            <v>Nathaly Allcca</v>
          </cell>
          <cell r="J429" t="str">
            <v>En Proceso</v>
          </cell>
          <cell r="K429">
            <v>46035</v>
          </cell>
        </row>
        <row r="430">
          <cell r="B430" t="str">
            <v>TX_CRA2026_304</v>
          </cell>
          <cell r="C430" t="str">
            <v>0101570_LM_Los_Electricistas_0100512_LM_Ventanilla_Pachacutec</v>
          </cell>
          <cell r="D430" t="str">
            <v>M0850</v>
          </cell>
          <cell r="E430" t="str">
            <v>CRA MOVIL 2026</v>
          </cell>
          <cell r="F430" t="str">
            <v>Vulnerabilidad</v>
          </cell>
          <cell r="G430">
            <v>2026</v>
          </cell>
          <cell r="I430" t="str">
            <v>Nathaly Allcca</v>
          </cell>
          <cell r="J430" t="str">
            <v>En Proceso</v>
          </cell>
          <cell r="K430">
            <v>46035</v>
          </cell>
        </row>
        <row r="431">
          <cell r="B431" t="str">
            <v>TX_CRA2026_305</v>
          </cell>
          <cell r="C431" t="str">
            <v>0101361_LM_Blasco_Nunez_0100002_LM_Nuevo_Comas</v>
          </cell>
          <cell r="D431" t="str">
            <v>M0850</v>
          </cell>
          <cell r="E431" t="str">
            <v>CRA MOVIL 2026</v>
          </cell>
          <cell r="F431" t="str">
            <v>Vulnerabilidad</v>
          </cell>
          <cell r="G431">
            <v>2026</v>
          </cell>
          <cell r="I431" t="str">
            <v>Nathaly Allcca</v>
          </cell>
          <cell r="J431" t="str">
            <v>Activado</v>
          </cell>
          <cell r="K431">
            <v>46035</v>
          </cell>
        </row>
        <row r="432">
          <cell r="B432" t="str">
            <v>TX_CRA2026_306</v>
          </cell>
          <cell r="C432" t="str">
            <v>0105656_LM_Arrayanes_0105659_LM_Las_Granadas</v>
          </cell>
          <cell r="D432" t="str">
            <v>M0850</v>
          </cell>
          <cell r="E432" t="str">
            <v>CRA MOVIL 2026</v>
          </cell>
          <cell r="F432" t="str">
            <v>Vulnerabilidad</v>
          </cell>
          <cell r="G432">
            <v>2026</v>
          </cell>
          <cell r="I432" t="str">
            <v>Nathaly Allcca</v>
          </cell>
          <cell r="J432" t="str">
            <v>En Proceso</v>
          </cell>
          <cell r="K432">
            <v>46035</v>
          </cell>
        </row>
        <row r="433">
          <cell r="B433" t="str">
            <v>TX_CRA2026_307</v>
          </cell>
          <cell r="C433" t="str">
            <v>0105584_LM_Villa_Mercedes_0100203_LM_Canto_Rey</v>
          </cell>
          <cell r="D433" t="str">
            <v>M0850</v>
          </cell>
          <cell r="E433" t="str">
            <v>CRA MOVIL 2026</v>
          </cell>
          <cell r="F433" t="str">
            <v>Vulnerabilidad</v>
          </cell>
          <cell r="G433">
            <v>2026</v>
          </cell>
          <cell r="I433" t="str">
            <v>Nathaly Allcca</v>
          </cell>
          <cell r="J433" t="str">
            <v>En Proceso</v>
          </cell>
          <cell r="K433">
            <v>46035</v>
          </cell>
        </row>
        <row r="434">
          <cell r="B434" t="str">
            <v>TX_CRA2026_308</v>
          </cell>
          <cell r="C434" t="str">
            <v>0105525_LM_Paradero_10_0105561_LM_Chuquilbamba</v>
          </cell>
          <cell r="D434" t="str">
            <v>M0850</v>
          </cell>
          <cell r="E434" t="str">
            <v>CRA MOVIL 2026</v>
          </cell>
          <cell r="F434" t="str">
            <v>Vulnerabilidad</v>
          </cell>
          <cell r="G434">
            <v>2026</v>
          </cell>
          <cell r="I434" t="str">
            <v>Nathaly Allcca</v>
          </cell>
          <cell r="J434" t="str">
            <v>En Proceso</v>
          </cell>
          <cell r="K434">
            <v>46035</v>
          </cell>
        </row>
        <row r="435">
          <cell r="B435" t="str">
            <v>TX_CRA2026_309</v>
          </cell>
          <cell r="C435" t="str">
            <v>0104151_LI_Herselles_0100610_LI_El_Porvenir</v>
          </cell>
          <cell r="D435" t="str">
            <v>M0850</v>
          </cell>
          <cell r="E435" t="str">
            <v>CRA MOVIL 2026</v>
          </cell>
          <cell r="F435" t="str">
            <v>Vulnerabilidad</v>
          </cell>
          <cell r="G435">
            <v>2026</v>
          </cell>
          <cell r="I435" t="str">
            <v>Nathaly Allcca</v>
          </cell>
          <cell r="J435" t="str">
            <v>En Proceso</v>
          </cell>
          <cell r="K435">
            <v>46035</v>
          </cell>
        </row>
        <row r="436">
          <cell r="B436" t="str">
            <v>TX_CRA2026_310</v>
          </cell>
          <cell r="C436" t="str">
            <v>0103015_LM_Sat_Colonial_0105774_LM_Lima_Centro</v>
          </cell>
          <cell r="D436" t="str">
            <v>M0850</v>
          </cell>
          <cell r="E436" t="str">
            <v>CRA MOVIL 2026</v>
          </cell>
          <cell r="F436" t="str">
            <v>Vulnerabilidad</v>
          </cell>
          <cell r="G436">
            <v>2026</v>
          </cell>
          <cell r="I436" t="str">
            <v>Nathaly Allcca</v>
          </cell>
          <cell r="J436" t="str">
            <v>En Proceso</v>
          </cell>
          <cell r="K436">
            <v>46035</v>
          </cell>
        </row>
        <row r="437">
          <cell r="B437" t="str">
            <v>TX_CRA2026_311</v>
          </cell>
          <cell r="C437" t="str">
            <v>010140059_AQ_Cooperativa_Uni_0100940_AQ_UNSA</v>
          </cell>
          <cell r="D437" t="str">
            <v>M0850</v>
          </cell>
          <cell r="E437" t="str">
            <v>CRA MOVIL 2026</v>
          </cell>
          <cell r="F437" t="str">
            <v>Vulnerabilidad</v>
          </cell>
          <cell r="G437">
            <v>2026</v>
          </cell>
          <cell r="I437" t="str">
            <v>Nathaly Allcca</v>
          </cell>
          <cell r="J437" t="str">
            <v>Activado</v>
          </cell>
          <cell r="K437">
            <v>46035</v>
          </cell>
        </row>
        <row r="438">
          <cell r="B438" t="str">
            <v>TX_CRA2026_312</v>
          </cell>
          <cell r="C438" t="str">
            <v>0100698_LI_Baquijano_Y_Carrill_0100612_LI_La_Esperanza</v>
          </cell>
          <cell r="D438" t="str">
            <v>M0850</v>
          </cell>
          <cell r="E438" t="str">
            <v>CRA MOVIL 2026</v>
          </cell>
          <cell r="F438" t="str">
            <v>Vulnerabilidad</v>
          </cell>
          <cell r="G438">
            <v>2026</v>
          </cell>
          <cell r="I438" t="str">
            <v>Nathaly Allcca</v>
          </cell>
          <cell r="J438" t="str">
            <v>En Proceso</v>
          </cell>
          <cell r="K438">
            <v>46035</v>
          </cell>
        </row>
        <row r="439">
          <cell r="B439" t="str">
            <v>TX_CRA2026_313</v>
          </cell>
          <cell r="C439" t="str">
            <v>0100309_LM_Santa_Ligia_0100459_LM_Rosa_de_America</v>
          </cell>
          <cell r="D439" t="str">
            <v>M0850</v>
          </cell>
          <cell r="E439" t="str">
            <v>CRA MOVIL 2026</v>
          </cell>
          <cell r="F439" t="str">
            <v>Vulnerabilidad</v>
          </cell>
          <cell r="G439">
            <v>2026</v>
          </cell>
          <cell r="I439" t="str">
            <v>Nathaly Allcca</v>
          </cell>
          <cell r="J439" t="str">
            <v>En Proceso</v>
          </cell>
          <cell r="K439">
            <v>46035</v>
          </cell>
        </row>
        <row r="440">
          <cell r="B440" t="str">
            <v>TX_CRA2026_314</v>
          </cell>
          <cell r="C440" t="str">
            <v>0100117_LM_Orue_0100302_LM_Comercial_Surquill</v>
          </cell>
          <cell r="D440" t="str">
            <v>M0850</v>
          </cell>
          <cell r="E440" t="str">
            <v>CRA MOVIL 2026</v>
          </cell>
          <cell r="F440" t="str">
            <v>Vulnerabilidad</v>
          </cell>
          <cell r="G440">
            <v>2026</v>
          </cell>
          <cell r="I440" t="str">
            <v>Nathaly Allcca</v>
          </cell>
          <cell r="J440" t="str">
            <v>Activado</v>
          </cell>
          <cell r="K440">
            <v>46035</v>
          </cell>
        </row>
        <row r="441">
          <cell r="B441" t="str">
            <v>TX_CRA2026_315</v>
          </cell>
          <cell r="C441" t="str">
            <v>0100092_LM_La_Punta_0100006_LM_Colon</v>
          </cell>
          <cell r="D441" t="str">
            <v>M0850</v>
          </cell>
          <cell r="E441" t="str">
            <v>CRA MOVIL 2026</v>
          </cell>
          <cell r="F441" t="str">
            <v>Vulnerabilidad</v>
          </cell>
          <cell r="G441">
            <v>2026</v>
          </cell>
          <cell r="I441" t="str">
            <v>Nathaly Allcca</v>
          </cell>
          <cell r="J441" t="str">
            <v>En Proceso</v>
          </cell>
          <cell r="K441">
            <v>46035</v>
          </cell>
        </row>
        <row r="442">
          <cell r="B442" t="str">
            <v>TX_CRA2026_316</v>
          </cell>
          <cell r="C442" t="str">
            <v>0100786_AN_Coishco_Centro_0100712_AN_Coishco</v>
          </cell>
          <cell r="D442" t="str">
            <v>M0850</v>
          </cell>
          <cell r="E442" t="str">
            <v>CRA MOVIL 2026</v>
          </cell>
          <cell r="F442" t="str">
            <v>Vulnerabilidad</v>
          </cell>
          <cell r="G442">
            <v>2026</v>
          </cell>
          <cell r="I442" t="str">
            <v>Nathaly Allcca</v>
          </cell>
          <cell r="J442" t="str">
            <v>En Proceso</v>
          </cell>
          <cell r="K442">
            <v>46035</v>
          </cell>
        </row>
        <row r="443">
          <cell r="B443" t="str">
            <v>TX_CRA2026_317</v>
          </cell>
          <cell r="C443" t="str">
            <v>0100864_IC_Maurtua_0100821_IC_Ayabaca</v>
          </cell>
          <cell r="D443" t="str">
            <v>M0850</v>
          </cell>
          <cell r="E443" t="str">
            <v>CRA MOVIL 2026</v>
          </cell>
          <cell r="F443" t="str">
            <v>Vulnerabilidad</v>
          </cell>
          <cell r="G443">
            <v>2026</v>
          </cell>
          <cell r="I443" t="str">
            <v>Nathaly Allcca</v>
          </cell>
          <cell r="J443" t="str">
            <v>En Proceso</v>
          </cell>
          <cell r="K443">
            <v>46035</v>
          </cell>
        </row>
        <row r="444">
          <cell r="B444" t="str">
            <v>TX_CRA2026_318</v>
          </cell>
          <cell r="C444" t="str">
            <v>0101062_LA_Avenida_Oriente_0101004_LA_Chiclayo_Centro</v>
          </cell>
          <cell r="D444" t="str">
            <v>M0850</v>
          </cell>
          <cell r="E444" t="str">
            <v>CRA MOVIL 2026</v>
          </cell>
          <cell r="F444" t="str">
            <v>Vulnerabilidad</v>
          </cell>
          <cell r="G444">
            <v>2026</v>
          </cell>
          <cell r="I444" t="str">
            <v>Nathaly Allcca</v>
          </cell>
          <cell r="J444" t="str">
            <v>En Proceso</v>
          </cell>
          <cell r="K444">
            <v>46035</v>
          </cell>
        </row>
        <row r="445">
          <cell r="B445" t="str">
            <v>TX_CRA2026_319</v>
          </cell>
          <cell r="C445" t="str">
            <v>0103268_PI_Alejandro_Taboada_0101726_PI_Parinas</v>
          </cell>
          <cell r="D445" t="str">
            <v>M0850</v>
          </cell>
          <cell r="E445" t="str">
            <v>CRA MOVIL 2026</v>
          </cell>
          <cell r="F445" t="str">
            <v>Vulnerabilidad</v>
          </cell>
          <cell r="G445">
            <v>2026</v>
          </cell>
          <cell r="I445" t="str">
            <v>Nathaly Allcca</v>
          </cell>
          <cell r="J445" t="str">
            <v>En Proceso</v>
          </cell>
          <cell r="K445">
            <v>46035</v>
          </cell>
        </row>
        <row r="446">
          <cell r="B446" t="str">
            <v>TX_CRA2026_320</v>
          </cell>
          <cell r="C446" t="str">
            <v>0101589_PI_China_Popular_0101706_PI_Textil_Piura</v>
          </cell>
          <cell r="D446" t="str">
            <v>M0850</v>
          </cell>
          <cell r="E446" t="str">
            <v>CRA MOVIL 2026</v>
          </cell>
          <cell r="F446" t="str">
            <v>Vulnerabilidad</v>
          </cell>
          <cell r="G446">
            <v>2026</v>
          </cell>
          <cell r="I446" t="str">
            <v>Nathaly Allcca</v>
          </cell>
          <cell r="J446" t="str">
            <v>En Proceso</v>
          </cell>
          <cell r="K446">
            <v>46035</v>
          </cell>
        </row>
        <row r="447">
          <cell r="B447" t="str">
            <v>TX_CRA2026_321</v>
          </cell>
          <cell r="C447" t="str">
            <v>0100422_LM_Espana_0100136_LM_Bolivia</v>
          </cell>
          <cell r="D447" t="str">
            <v>M0850</v>
          </cell>
          <cell r="E447" t="str">
            <v>CRA MOVIL 2026</v>
          </cell>
          <cell r="F447" t="str">
            <v>Vulnerabilidad</v>
          </cell>
          <cell r="G447">
            <v>2026</v>
          </cell>
          <cell r="I447" t="str">
            <v>Nathaly Allcca</v>
          </cell>
          <cell r="J447" t="str">
            <v>Activado</v>
          </cell>
          <cell r="K447">
            <v>46035</v>
          </cell>
        </row>
        <row r="448">
          <cell r="B448" t="str">
            <v>TX_CRA2026_322</v>
          </cell>
          <cell r="C448" t="str">
            <v>0105738_LM_El_Comercio_0100012_LM_Pando</v>
          </cell>
          <cell r="D448" t="str">
            <v>M0850</v>
          </cell>
          <cell r="E448" t="str">
            <v>CRA MOVIL 2026</v>
          </cell>
          <cell r="F448" t="str">
            <v>Vulnerabilidad</v>
          </cell>
          <cell r="G448">
            <v>2026</v>
          </cell>
          <cell r="I448" t="str">
            <v>Nathaly Allcca</v>
          </cell>
          <cell r="J448" t="str">
            <v>En Proceso</v>
          </cell>
          <cell r="K448">
            <v>46035</v>
          </cell>
        </row>
        <row r="449">
          <cell r="B449" t="str">
            <v>TX_CRA2026_323</v>
          </cell>
          <cell r="C449" t="str">
            <v>0104101_LI_El_Cairo_0100612_LI_La_Esperanza</v>
          </cell>
          <cell r="D449" t="str">
            <v>M0850</v>
          </cell>
          <cell r="E449" t="str">
            <v>CRA MOVIL 2026</v>
          </cell>
          <cell r="F449" t="str">
            <v>Vulnerabilidad</v>
          </cell>
          <cell r="G449">
            <v>2026</v>
          </cell>
          <cell r="I449" t="str">
            <v>Nathaly Allcca</v>
          </cell>
          <cell r="J449" t="str">
            <v>En Proceso</v>
          </cell>
          <cell r="K449">
            <v>46035</v>
          </cell>
        </row>
        <row r="450">
          <cell r="B450" t="str">
            <v>TX_CRA2026_324</v>
          </cell>
          <cell r="C450" t="str">
            <v>0104171_LI_Fco_De_Paula_0100610_LI_El_Porvenir</v>
          </cell>
          <cell r="D450" t="str">
            <v>M0850</v>
          </cell>
          <cell r="E450" t="str">
            <v>CRA MOVIL 2026</v>
          </cell>
          <cell r="F450" t="str">
            <v>Vulnerabilidad</v>
          </cell>
          <cell r="G450">
            <v>2026</v>
          </cell>
          <cell r="I450" t="str">
            <v>Nathaly Allcca</v>
          </cell>
          <cell r="J450" t="str">
            <v>En Proceso</v>
          </cell>
          <cell r="K450">
            <v>46035</v>
          </cell>
        </row>
        <row r="451">
          <cell r="B451" t="str">
            <v>TX_CRA2026_325</v>
          </cell>
          <cell r="C451" t="str">
            <v>0100365_LM_Alameda_0100069_LM_Fernandini</v>
          </cell>
          <cell r="D451" t="str">
            <v>M0850</v>
          </cell>
          <cell r="E451" t="str">
            <v>CRA MOVIL 2026</v>
          </cell>
          <cell r="F451" t="str">
            <v>Vulnerabilidad</v>
          </cell>
          <cell r="G451">
            <v>2026</v>
          </cell>
          <cell r="I451" t="str">
            <v>Nathaly Allcca</v>
          </cell>
          <cell r="J451" t="str">
            <v>En Proceso</v>
          </cell>
          <cell r="K451">
            <v>46035</v>
          </cell>
        </row>
        <row r="452">
          <cell r="B452" t="str">
            <v>TX_CRA2026_326</v>
          </cell>
          <cell r="C452" t="str">
            <v>0100458_LM_Presbitero_Maestro_0100142_LM_Caja_de_Agua</v>
          </cell>
          <cell r="D452" t="str">
            <v>M0850</v>
          </cell>
          <cell r="E452" t="str">
            <v>CRA MOVIL 2026</v>
          </cell>
          <cell r="F452" t="str">
            <v>Vulnerabilidad</v>
          </cell>
          <cell r="G452">
            <v>2026</v>
          </cell>
          <cell r="I452" t="str">
            <v>Nathaly Allcca</v>
          </cell>
          <cell r="J452" t="str">
            <v>En Proceso</v>
          </cell>
          <cell r="K452">
            <v>46035</v>
          </cell>
        </row>
        <row r="453">
          <cell r="B453" t="str">
            <v>TX_CRA2026_327</v>
          </cell>
          <cell r="C453" t="str">
            <v>0102150_LM_Villa_El_Arenal_0100038_LM_Villa_Salvador</v>
          </cell>
          <cell r="D453" t="str">
            <v>M0850</v>
          </cell>
          <cell r="E453" t="str">
            <v>CRA MOVIL 2026</v>
          </cell>
          <cell r="F453" t="str">
            <v>Vulnerabilidad</v>
          </cell>
          <cell r="G453">
            <v>2026</v>
          </cell>
          <cell r="I453" t="str">
            <v>Nathaly Allcca</v>
          </cell>
          <cell r="J453" t="str">
            <v>En Proceso</v>
          </cell>
          <cell r="K453">
            <v>46035</v>
          </cell>
        </row>
        <row r="454">
          <cell r="B454" t="str">
            <v>TX_CRA2026_328</v>
          </cell>
          <cell r="C454" t="str">
            <v>0100893_IC_Panamericana_Chinch_0100815_IC_Chincha</v>
          </cell>
          <cell r="D454" t="str">
            <v>M0850</v>
          </cell>
          <cell r="E454" t="str">
            <v>CRA MOVIL 2026</v>
          </cell>
          <cell r="F454" t="str">
            <v>Vulnerabilidad</v>
          </cell>
          <cell r="G454">
            <v>2026</v>
          </cell>
          <cell r="I454" t="str">
            <v>Nathaly Allcca</v>
          </cell>
          <cell r="J454" t="str">
            <v>Activado</v>
          </cell>
          <cell r="K454">
            <v>46035</v>
          </cell>
        </row>
        <row r="455">
          <cell r="B455" t="str">
            <v>TX_CRA2026_329</v>
          </cell>
          <cell r="C455" t="str">
            <v>0104196_LI_Huamachuco_Centro_0104244_LI_Huamachuco</v>
          </cell>
          <cell r="D455" t="str">
            <v>M0850</v>
          </cell>
          <cell r="E455" t="str">
            <v>CRA MOVIL 2026</v>
          </cell>
          <cell r="F455" t="str">
            <v>Vulnerabilidad</v>
          </cell>
          <cell r="G455">
            <v>2026</v>
          </cell>
          <cell r="I455" t="str">
            <v>Nathaly Allcca</v>
          </cell>
          <cell r="J455" t="str">
            <v>En Proceso</v>
          </cell>
          <cell r="K455">
            <v>46035</v>
          </cell>
        </row>
        <row r="456">
          <cell r="B456" t="str">
            <v>TX_CRA2026_330</v>
          </cell>
          <cell r="C456" t="str">
            <v>0100333_LM_Francisco_Pizarro_0100006_LM_Colon</v>
          </cell>
          <cell r="D456" t="str">
            <v>M0850</v>
          </cell>
          <cell r="E456" t="str">
            <v>CRA MOVIL 2026</v>
          </cell>
          <cell r="F456" t="str">
            <v>Vulnerabilidad</v>
          </cell>
          <cell r="G456">
            <v>2026</v>
          </cell>
          <cell r="I456" t="str">
            <v>Nathaly Allcca</v>
          </cell>
          <cell r="J456" t="str">
            <v>En Proceso</v>
          </cell>
          <cell r="K456">
            <v>46035</v>
          </cell>
        </row>
        <row r="457">
          <cell r="B457" t="str">
            <v>TX_CRA2026_331</v>
          </cell>
          <cell r="C457" t="str">
            <v>0101820_TU_Hospital_Tumbes_0101804_TU_Tumbes</v>
          </cell>
          <cell r="D457" t="str">
            <v>M0850</v>
          </cell>
          <cell r="E457" t="str">
            <v>CRA MOVIL 2026</v>
          </cell>
          <cell r="F457" t="str">
            <v>Vulnerabilidad</v>
          </cell>
          <cell r="G457">
            <v>2026</v>
          </cell>
          <cell r="I457" t="str">
            <v>Nathaly Allcca</v>
          </cell>
          <cell r="J457" t="str">
            <v>En Proceso</v>
          </cell>
          <cell r="K457">
            <v>46035</v>
          </cell>
        </row>
        <row r="458">
          <cell r="B458" t="str">
            <v>TX_CRA2026_332</v>
          </cell>
          <cell r="C458" t="str">
            <v>0100256_LM_El_Polo_0100252_LM_Alonso_de_Molina</v>
          </cell>
          <cell r="D458" t="str">
            <v>M0850</v>
          </cell>
          <cell r="E458" t="str">
            <v>CRA MOVIL 2026</v>
          </cell>
          <cell r="F458" t="str">
            <v>Vulnerabilidad</v>
          </cell>
          <cell r="G458">
            <v>2026</v>
          </cell>
          <cell r="I458" t="str">
            <v>Nathaly Allcca</v>
          </cell>
          <cell r="J458" t="str">
            <v>En Proceso</v>
          </cell>
          <cell r="K458">
            <v>46035</v>
          </cell>
        </row>
        <row r="459">
          <cell r="B459" t="str">
            <v>TX_CRA2026_333</v>
          </cell>
          <cell r="C459" t="str">
            <v>0105601_LM_Rio_Nanay_0100198_LM_Ferrocarril</v>
          </cell>
          <cell r="D459" t="str">
            <v>M0850</v>
          </cell>
          <cell r="E459" t="str">
            <v>CRA MOVIL 2026</v>
          </cell>
          <cell r="F459" t="str">
            <v>Vulnerabilidad</v>
          </cell>
          <cell r="G459">
            <v>2026</v>
          </cell>
          <cell r="I459" t="str">
            <v>Nathaly Allcca</v>
          </cell>
          <cell r="J459" t="str">
            <v>En Proceso</v>
          </cell>
          <cell r="K459">
            <v>46035</v>
          </cell>
        </row>
        <row r="460">
          <cell r="B460" t="str">
            <v>TX_CRA2026_334</v>
          </cell>
          <cell r="C460" t="str">
            <v>0101024_LA_Leonardo_Ortiz_0101008_LA_Moshoqueque</v>
          </cell>
          <cell r="D460" t="str">
            <v>M0850</v>
          </cell>
          <cell r="E460" t="str">
            <v>CRA MOVIL 2026</v>
          </cell>
          <cell r="F460" t="str">
            <v>Vulnerabilidad</v>
          </cell>
          <cell r="G460">
            <v>2026</v>
          </cell>
          <cell r="I460" t="str">
            <v>Nathaly Allcca</v>
          </cell>
          <cell r="J460" t="str">
            <v>En Proceso</v>
          </cell>
          <cell r="K460">
            <v>46035</v>
          </cell>
        </row>
        <row r="461">
          <cell r="B461" t="str">
            <v>TX_CRA2026_335</v>
          </cell>
          <cell r="C461" t="str">
            <v>0105263_LM_El_Alamo_0100149_LM_Trapiche</v>
          </cell>
          <cell r="D461" t="str">
            <v>M0850</v>
          </cell>
          <cell r="E461" t="str">
            <v>CRA MOVIL 2026</v>
          </cell>
          <cell r="F461" t="str">
            <v>Vulnerabilidad</v>
          </cell>
          <cell r="G461">
            <v>2026</v>
          </cell>
          <cell r="I461" t="str">
            <v>Nathaly Allcca</v>
          </cell>
          <cell r="J461" t="str">
            <v>En Proceso</v>
          </cell>
          <cell r="K461">
            <v>46035</v>
          </cell>
        </row>
        <row r="462">
          <cell r="B462" t="str">
            <v>TX_CRA2026_336</v>
          </cell>
          <cell r="C462" t="str">
            <v>0105376_LM_Los_Gallinazos_0100373_LM_Carabayllo</v>
          </cell>
          <cell r="D462" t="str">
            <v>M0850</v>
          </cell>
          <cell r="E462" t="str">
            <v>CRA MOVIL 2026</v>
          </cell>
          <cell r="F462" t="str">
            <v>Vulnerabilidad</v>
          </cell>
          <cell r="G462">
            <v>2026</v>
          </cell>
          <cell r="I462" t="str">
            <v>Nathaly Allcca</v>
          </cell>
          <cell r="J462" t="str">
            <v>En Proceso</v>
          </cell>
          <cell r="K462">
            <v>46035</v>
          </cell>
        </row>
        <row r="463">
          <cell r="B463" t="str">
            <v>TX_CRA2026_337</v>
          </cell>
          <cell r="C463" t="str">
            <v>0105134_LM_El_Altiplano_0100144_LM_Pamplona</v>
          </cell>
          <cell r="D463" t="str">
            <v>M0850</v>
          </cell>
          <cell r="E463" t="str">
            <v>CRA MOVIL 2026</v>
          </cell>
          <cell r="F463" t="str">
            <v>Vulnerabilidad</v>
          </cell>
          <cell r="G463">
            <v>2026</v>
          </cell>
          <cell r="I463" t="str">
            <v>Nathaly Allcca</v>
          </cell>
          <cell r="J463" t="str">
            <v>Activado</v>
          </cell>
          <cell r="K463">
            <v>46035</v>
          </cell>
        </row>
        <row r="464">
          <cell r="B464" t="str">
            <v>TX_CRA2026_338</v>
          </cell>
          <cell r="C464" t="str">
            <v>0100320_LM_Ciudad_del_Pescado_0100074_LM_Haya_de_la_Torre</v>
          </cell>
          <cell r="D464" t="str">
            <v>M0850</v>
          </cell>
          <cell r="E464" t="str">
            <v>CRA MOVIL 2026</v>
          </cell>
          <cell r="F464" t="str">
            <v>Vulnerabilidad</v>
          </cell>
          <cell r="G464">
            <v>2026</v>
          </cell>
          <cell r="I464" t="str">
            <v>Nathaly Allcca</v>
          </cell>
          <cell r="J464" t="str">
            <v>En Proceso</v>
          </cell>
          <cell r="K464">
            <v>46035</v>
          </cell>
        </row>
        <row r="465">
          <cell r="B465" t="str">
            <v>TX_CRA2026_339</v>
          </cell>
          <cell r="C465" t="str">
            <v>0105057_LM_Tren_de_Villa_0100369_LM_Universidad_UNTEC</v>
          </cell>
          <cell r="D465" t="str">
            <v>M0850</v>
          </cell>
          <cell r="E465" t="str">
            <v>CRA MOVIL 2026</v>
          </cell>
          <cell r="F465" t="str">
            <v>Vulnerabilidad</v>
          </cell>
          <cell r="G465">
            <v>2026</v>
          </cell>
          <cell r="I465" t="str">
            <v>Nathaly Allcca</v>
          </cell>
          <cell r="J465" t="str">
            <v>En Proceso</v>
          </cell>
          <cell r="K465">
            <v>46035</v>
          </cell>
        </row>
        <row r="466">
          <cell r="B466" t="str">
            <v>TX_CRA2026_340</v>
          </cell>
          <cell r="C466" t="str">
            <v>0100269_LM_Isabel_La_Catolica_0100119_LM_Estadio_Alianza</v>
          </cell>
          <cell r="D466" t="str">
            <v>M0850</v>
          </cell>
          <cell r="E466" t="str">
            <v>CRA MOVIL 2026</v>
          </cell>
          <cell r="F466" t="str">
            <v>Vulnerabilidad</v>
          </cell>
          <cell r="G466">
            <v>2026</v>
          </cell>
          <cell r="I466" t="str">
            <v>Nathaly Allcca</v>
          </cell>
          <cell r="J466" t="str">
            <v>En Proceso</v>
          </cell>
          <cell r="K466">
            <v>46035</v>
          </cell>
        </row>
        <row r="467">
          <cell r="B467" t="str">
            <v>TX_CRA2026_341</v>
          </cell>
          <cell r="C467" t="str">
            <v>0105679_LM_Pro_0105667_LM_Betancourt</v>
          </cell>
          <cell r="D467" t="str">
            <v>M0850</v>
          </cell>
          <cell r="E467" t="str">
            <v>CRA MOVIL 2026</v>
          </cell>
          <cell r="F467" t="str">
            <v>Vulnerabilidad</v>
          </cell>
          <cell r="G467">
            <v>2026</v>
          </cell>
          <cell r="I467" t="str">
            <v>Nathaly Allcca</v>
          </cell>
          <cell r="J467" t="str">
            <v>En Proceso</v>
          </cell>
          <cell r="K467">
            <v>46035</v>
          </cell>
        </row>
        <row r="468">
          <cell r="B468" t="str">
            <v>TX_CRA2026_342</v>
          </cell>
          <cell r="C468" t="str">
            <v>0105673_LM_Puerta_De_Pro_0100342_LM_Los_Proceres</v>
          </cell>
          <cell r="D468" t="str">
            <v>M0850</v>
          </cell>
          <cell r="E468" t="str">
            <v>CRA MOVIL 2026</v>
          </cell>
          <cell r="F468" t="str">
            <v>Vulnerabilidad</v>
          </cell>
          <cell r="G468">
            <v>2026</v>
          </cell>
          <cell r="I468" t="str">
            <v>Nathaly Allcca</v>
          </cell>
          <cell r="J468" t="str">
            <v>En Proceso</v>
          </cell>
          <cell r="K468">
            <v>46035</v>
          </cell>
        </row>
        <row r="469">
          <cell r="B469" t="str">
            <v>TX_CRA2026_343</v>
          </cell>
          <cell r="C469" t="str">
            <v>0105984_LM_Luna_Pizarro_0100119_LM_Estadio_Alianza</v>
          </cell>
          <cell r="D469" t="str">
            <v>M0850</v>
          </cell>
          <cell r="E469" t="str">
            <v>CRA MOVIL 2026</v>
          </cell>
          <cell r="F469" t="str">
            <v>Vulnerabilidad</v>
          </cell>
          <cell r="G469">
            <v>2026</v>
          </cell>
          <cell r="I469" t="str">
            <v>Nathaly Allcca</v>
          </cell>
          <cell r="J469" t="str">
            <v>En Proceso</v>
          </cell>
          <cell r="K469">
            <v>46035</v>
          </cell>
        </row>
        <row r="470">
          <cell r="B470" t="str">
            <v>TX_CRA2026_344</v>
          </cell>
          <cell r="C470" t="str">
            <v>0101533_CA_Paz_Cajamarca_0101510_CA_Atahualpa</v>
          </cell>
          <cell r="D470" t="str">
            <v>M0850</v>
          </cell>
          <cell r="E470" t="str">
            <v>CRA MOVIL 2026</v>
          </cell>
          <cell r="F470" t="str">
            <v>Vulnerabilidad</v>
          </cell>
          <cell r="G470">
            <v>2026</v>
          </cell>
          <cell r="I470" t="str">
            <v>Nathaly Allcca</v>
          </cell>
          <cell r="J470" t="str">
            <v>Activado</v>
          </cell>
          <cell r="K470">
            <v>46035</v>
          </cell>
        </row>
        <row r="471">
          <cell r="B471" t="str">
            <v>TX_CRA2026_345</v>
          </cell>
          <cell r="C471" t="str">
            <v>0102288_IC_Ciudad_Santiago_0100822_IC_Santiago</v>
          </cell>
          <cell r="D471" t="str">
            <v>M0850</v>
          </cell>
          <cell r="E471" t="str">
            <v>CRA MOVIL 2026</v>
          </cell>
          <cell r="F471" t="str">
            <v>Vulnerabilidad</v>
          </cell>
          <cell r="G471">
            <v>2026</v>
          </cell>
          <cell r="I471" t="str">
            <v>Nathaly Allcca</v>
          </cell>
          <cell r="J471" t="str">
            <v>Activado</v>
          </cell>
          <cell r="K471">
            <v>46035</v>
          </cell>
        </row>
        <row r="472">
          <cell r="B472" t="str">
            <v>TX_CRA2026_346</v>
          </cell>
          <cell r="C472" t="str">
            <v>0105684_LM_Estanos_0100459_LM_Rosa_de_America</v>
          </cell>
          <cell r="D472" t="str">
            <v>M0850</v>
          </cell>
          <cell r="E472" t="str">
            <v>CRA MOVIL 2026</v>
          </cell>
          <cell r="F472" t="str">
            <v>Vulnerabilidad</v>
          </cell>
          <cell r="G472">
            <v>2026</v>
          </cell>
          <cell r="I472" t="str">
            <v>Nathaly Allcca</v>
          </cell>
          <cell r="J472" t="str">
            <v>En Proceso</v>
          </cell>
          <cell r="K472">
            <v>46035</v>
          </cell>
        </row>
        <row r="473">
          <cell r="B473" t="str">
            <v>TX_CRA2026_347</v>
          </cell>
          <cell r="C473" t="str">
            <v>010201097_LH_Chaska_Amarilis_0103528_LH_Huanuco_Centro</v>
          </cell>
          <cell r="D473" t="str">
            <v>M0850</v>
          </cell>
          <cell r="E473" t="str">
            <v>CRA MOVIL 2026</v>
          </cell>
          <cell r="F473" t="str">
            <v>Vulnerabilidad</v>
          </cell>
          <cell r="G473">
            <v>2026</v>
          </cell>
          <cell r="I473" t="str">
            <v>Nathaly Allcca</v>
          </cell>
          <cell r="J473" t="str">
            <v>En Proceso</v>
          </cell>
          <cell r="K473">
            <v>46035</v>
          </cell>
        </row>
        <row r="474">
          <cell r="B474" t="str">
            <v>TX_CRA2026_348</v>
          </cell>
          <cell r="C474" t="str">
            <v>0103004_JU_Pichanaki_0104697_JU_Palma_Soriano</v>
          </cell>
          <cell r="D474" t="str">
            <v>M0850</v>
          </cell>
          <cell r="E474" t="str">
            <v>CRA MOVIL 2026</v>
          </cell>
          <cell r="F474" t="str">
            <v>Vulnerabilidad</v>
          </cell>
          <cell r="G474">
            <v>2026</v>
          </cell>
          <cell r="I474" t="str">
            <v>Nathaly Allcca</v>
          </cell>
          <cell r="J474" t="str">
            <v>Activado</v>
          </cell>
          <cell r="K474">
            <v>46035</v>
          </cell>
        </row>
        <row r="475">
          <cell r="B475" t="str">
            <v>TX_CRA2026_349</v>
          </cell>
          <cell r="C475" t="str">
            <v>0100053_LM_Las_Artes_0100070_LM_Museo</v>
          </cell>
          <cell r="D475" t="str">
            <v>M0850</v>
          </cell>
          <cell r="E475" t="str">
            <v>CRA MOVIL 2026</v>
          </cell>
          <cell r="F475" t="str">
            <v>Vulnerabilidad</v>
          </cell>
          <cell r="G475">
            <v>2026</v>
          </cell>
          <cell r="I475" t="str">
            <v>Nathaly Allcca</v>
          </cell>
          <cell r="J475" t="str">
            <v>En Proceso</v>
          </cell>
          <cell r="K475">
            <v>46035</v>
          </cell>
        </row>
        <row r="476">
          <cell r="B476" t="str">
            <v>TX_CRA2026_350</v>
          </cell>
          <cell r="C476" t="str">
            <v>0105277_LM_Los_Portales_Chavin_0100498_LM_Brisas</v>
          </cell>
          <cell r="D476" t="str">
            <v>M0850</v>
          </cell>
          <cell r="E476" t="str">
            <v>CRA MOVIL 2026</v>
          </cell>
          <cell r="F476" t="str">
            <v>Vulnerabilidad</v>
          </cell>
          <cell r="G476">
            <v>2026</v>
          </cell>
          <cell r="I476" t="str">
            <v>Nathaly Allcca</v>
          </cell>
          <cell r="J476" t="str">
            <v>En Proceso</v>
          </cell>
          <cell r="K476">
            <v>46035</v>
          </cell>
        </row>
        <row r="477">
          <cell r="B477" t="str">
            <v>TX_CRA2026_351</v>
          </cell>
          <cell r="C477" t="str">
            <v>0105494_LM_Avenida_B_0100281_LM_Marquez</v>
          </cell>
          <cell r="D477" t="str">
            <v>M0850</v>
          </cell>
          <cell r="E477" t="str">
            <v>CRA MOVIL 2026</v>
          </cell>
          <cell r="F477" t="str">
            <v>Vulnerabilidad</v>
          </cell>
          <cell r="G477">
            <v>2026</v>
          </cell>
          <cell r="I477" t="str">
            <v>Nathaly Allcca</v>
          </cell>
          <cell r="J477" t="str">
            <v>En Proceso</v>
          </cell>
          <cell r="K477">
            <v>46035</v>
          </cell>
        </row>
        <row r="478">
          <cell r="B478" t="str">
            <v>TX_CRA2026_352</v>
          </cell>
          <cell r="C478" t="str">
            <v>0105658_LM_Balandra_0100478_LM_Tiahuanaco</v>
          </cell>
          <cell r="D478" t="str">
            <v>M0850</v>
          </cell>
          <cell r="E478" t="str">
            <v>CRA MOVIL 2026</v>
          </cell>
          <cell r="F478" t="str">
            <v>Vulnerabilidad</v>
          </cell>
          <cell r="G478">
            <v>2026</v>
          </cell>
          <cell r="I478" t="str">
            <v>Nathaly Allcca</v>
          </cell>
          <cell r="J478" t="str">
            <v>En Proceso</v>
          </cell>
          <cell r="K478">
            <v>46035</v>
          </cell>
        </row>
        <row r="479">
          <cell r="B479" t="str">
            <v>TX_CRA2026_353</v>
          </cell>
          <cell r="C479" t="str">
            <v>0105678_LM_Cordialidad_0100342_LM_Los_Proceres</v>
          </cell>
          <cell r="D479" t="str">
            <v>M0850</v>
          </cell>
          <cell r="E479" t="str">
            <v>CRA MOVIL 2026</v>
          </cell>
          <cell r="F479" t="str">
            <v>Vulnerabilidad</v>
          </cell>
          <cell r="G479">
            <v>2026</v>
          </cell>
          <cell r="I479" t="str">
            <v>Nathaly Allcca</v>
          </cell>
          <cell r="J479" t="str">
            <v>En Proceso</v>
          </cell>
          <cell r="K479">
            <v>46035</v>
          </cell>
        </row>
        <row r="480">
          <cell r="B480" t="str">
            <v>TX_CRA2026_354</v>
          </cell>
          <cell r="C480" t="str">
            <v>0106336_LM_Municipalidad_Puent_0100285_LM_Puente_Piedra</v>
          </cell>
          <cell r="D480" t="str">
            <v>M0850</v>
          </cell>
          <cell r="E480" t="str">
            <v>CRA MOVIL 2026</v>
          </cell>
          <cell r="F480" t="str">
            <v>Vulnerabilidad</v>
          </cell>
          <cell r="G480">
            <v>2026</v>
          </cell>
          <cell r="I480" t="str">
            <v>Nathaly Allcca</v>
          </cell>
          <cell r="J480" t="str">
            <v>En Proceso</v>
          </cell>
          <cell r="K480">
            <v>46035</v>
          </cell>
        </row>
        <row r="481">
          <cell r="B481" t="str">
            <v>TX_CRA2026_355</v>
          </cell>
          <cell r="C481" t="str">
            <v>0105463_LM_Control_Zarumilla_0101149_LM_Nuevo_Caqueta</v>
          </cell>
          <cell r="D481" t="str">
            <v>M0850</v>
          </cell>
          <cell r="E481" t="str">
            <v>CRA MOVIL 2026</v>
          </cell>
          <cell r="F481" t="str">
            <v>Vulnerabilidad</v>
          </cell>
          <cell r="G481">
            <v>2026</v>
          </cell>
          <cell r="I481" t="str">
            <v>Nathaly Allcca</v>
          </cell>
          <cell r="J481" t="str">
            <v>En Proceso</v>
          </cell>
          <cell r="K481">
            <v>46035</v>
          </cell>
        </row>
        <row r="482">
          <cell r="B482" t="str">
            <v>MAC_Cobertura2026_1</v>
          </cell>
          <cell r="C482" t="str">
            <v>013171458_LM_Amp_LAP_Sur</v>
          </cell>
          <cell r="D482" t="str">
            <v>M0861</v>
          </cell>
          <cell r="E482" t="str">
            <v>COBERTURA 2026</v>
          </cell>
          <cell r="F482" t="str">
            <v>Macros</v>
          </cell>
          <cell r="G482">
            <v>2026</v>
          </cell>
          <cell r="H482" t="str">
            <v>1 Q</v>
          </cell>
          <cell r="I482" t="str">
            <v>Almendra Vásquez</v>
          </cell>
          <cell r="J482" t="str">
            <v>En construcción/imple</v>
          </cell>
          <cell r="K482">
            <v>46035</v>
          </cell>
        </row>
        <row r="483">
          <cell r="B483" t="str">
            <v>MAC_Cobertura2026_2</v>
          </cell>
          <cell r="C483" t="str">
            <v>013254098_LM_GranoDeOro</v>
          </cell>
          <cell r="D483" t="str">
            <v>M0861</v>
          </cell>
          <cell r="E483" t="str">
            <v>COBERTURA 2026</v>
          </cell>
          <cell r="F483" t="str">
            <v>Macros</v>
          </cell>
          <cell r="G483">
            <v>2026</v>
          </cell>
          <cell r="H483" t="str">
            <v>2Q</v>
          </cell>
          <cell r="I483" t="str">
            <v>Almendra Vásquez</v>
          </cell>
          <cell r="J483" t="str">
            <v>En Busqueda</v>
          </cell>
          <cell r="K483">
            <v>46035</v>
          </cell>
        </row>
        <row r="484">
          <cell r="B484" t="str">
            <v>MAC_Cobertura2026_3</v>
          </cell>
          <cell r="C484" t="str">
            <v>013254005_LM_LomasDeAte</v>
          </cell>
          <cell r="D484" t="str">
            <v>M0861</v>
          </cell>
          <cell r="E484" t="str">
            <v>COBERTURA 2026</v>
          </cell>
          <cell r="F484" t="str">
            <v>Macros</v>
          </cell>
          <cell r="G484">
            <v>2026</v>
          </cell>
          <cell r="H484" t="str">
            <v>2Q</v>
          </cell>
          <cell r="I484" t="str">
            <v>Almendra Vásquez</v>
          </cell>
          <cell r="J484" t="str">
            <v>En validación</v>
          </cell>
          <cell r="K484">
            <v>46035</v>
          </cell>
        </row>
        <row r="485">
          <cell r="B485" t="str">
            <v>MAC_Cobertura2026_4</v>
          </cell>
          <cell r="C485" t="str">
            <v>013254006_LM_HuaycanZonaT</v>
          </cell>
          <cell r="D485" t="str">
            <v>M0861</v>
          </cell>
          <cell r="E485" t="str">
            <v>COBERTURA 2026</v>
          </cell>
          <cell r="F485" t="str">
            <v>Macros</v>
          </cell>
          <cell r="G485">
            <v>2026</v>
          </cell>
          <cell r="H485" t="str">
            <v>1 Q</v>
          </cell>
          <cell r="I485" t="str">
            <v>Almendra Vásquez</v>
          </cell>
          <cell r="J485" t="str">
            <v>En saneamiento</v>
          </cell>
          <cell r="K485">
            <v>46035</v>
          </cell>
        </row>
        <row r="486">
          <cell r="B486" t="str">
            <v>MAC_Cobertura2026_5</v>
          </cell>
          <cell r="C486" t="str">
            <v>013254068_LM_MesetaManchay</v>
          </cell>
          <cell r="D486" t="str">
            <v>M0861</v>
          </cell>
          <cell r="E486" t="str">
            <v>COBERTURA 2026</v>
          </cell>
          <cell r="F486" t="str">
            <v>Macros</v>
          </cell>
          <cell r="G486">
            <v>2026</v>
          </cell>
          <cell r="H486" t="str">
            <v>1 Q</v>
          </cell>
          <cell r="I486" t="str">
            <v>Almendra Vásquez</v>
          </cell>
          <cell r="J486" t="str">
            <v>En validación</v>
          </cell>
          <cell r="K486">
            <v>46035</v>
          </cell>
        </row>
        <row r="487">
          <cell r="B487" t="str">
            <v>MAC_Cobertura2026_6</v>
          </cell>
          <cell r="C487" t="str">
            <v>013251932_LM_ParqueOllanta</v>
          </cell>
          <cell r="D487" t="str">
            <v>M0861</v>
          </cell>
          <cell r="E487" t="str">
            <v>COBERTURA 2026</v>
          </cell>
          <cell r="F487" t="str">
            <v>Macros</v>
          </cell>
          <cell r="G487">
            <v>2026</v>
          </cell>
          <cell r="H487" t="str">
            <v>2Q</v>
          </cell>
          <cell r="I487" t="str">
            <v>Almendra Vásquez</v>
          </cell>
          <cell r="J487" t="str">
            <v>En validación</v>
          </cell>
          <cell r="K487">
            <v>46035</v>
          </cell>
        </row>
        <row r="488">
          <cell r="B488" t="str">
            <v>MAC_Cobertura2026_7</v>
          </cell>
          <cell r="C488" t="str">
            <v>013253999_LM_VillaAgrariaDeVegueta</v>
          </cell>
          <cell r="D488" t="str">
            <v>M0861</v>
          </cell>
          <cell r="E488" t="str">
            <v>COBERTURA 2026</v>
          </cell>
          <cell r="F488" t="str">
            <v>Macros</v>
          </cell>
          <cell r="G488">
            <v>2026</v>
          </cell>
          <cell r="H488" t="str">
            <v>1 Q</v>
          </cell>
          <cell r="I488" t="str">
            <v>Almendra Vásquez</v>
          </cell>
          <cell r="J488" t="str">
            <v>En saneamiento</v>
          </cell>
          <cell r="K488">
            <v>46035</v>
          </cell>
        </row>
        <row r="489">
          <cell r="B489" t="str">
            <v>MAC_Cobertura2026_8</v>
          </cell>
          <cell r="C489" t="str">
            <v>013254009_LM_HuarangalDeCarabayllo</v>
          </cell>
          <cell r="D489" t="str">
            <v>M0861</v>
          </cell>
          <cell r="E489" t="str">
            <v>COBERTURA 2026</v>
          </cell>
          <cell r="F489" t="str">
            <v>Macros</v>
          </cell>
          <cell r="G489">
            <v>2026</v>
          </cell>
          <cell r="H489" t="str">
            <v>2Q</v>
          </cell>
          <cell r="I489" t="str">
            <v>Almendra Vásquez</v>
          </cell>
          <cell r="J489" t="str">
            <v>En validación</v>
          </cell>
          <cell r="K489">
            <v>46035</v>
          </cell>
        </row>
        <row r="490">
          <cell r="B490" t="str">
            <v>MAC_Cobertura2026_10</v>
          </cell>
          <cell r="C490" t="str">
            <v>013254043_LM_AvMediaLuna</v>
          </cell>
          <cell r="D490" t="str">
            <v>M0861</v>
          </cell>
          <cell r="E490" t="str">
            <v>COBERTURA 2026</v>
          </cell>
          <cell r="F490" t="str">
            <v>Macros</v>
          </cell>
          <cell r="G490">
            <v>2026</v>
          </cell>
          <cell r="H490" t="str">
            <v>1 Q</v>
          </cell>
          <cell r="I490" t="str">
            <v>Almendra Vásquez</v>
          </cell>
          <cell r="J490" t="str">
            <v>En Construcción</v>
          </cell>
          <cell r="K490">
            <v>46035</v>
          </cell>
        </row>
        <row r="491">
          <cell r="B491" t="str">
            <v>MAC_Cobertura2026_11</v>
          </cell>
          <cell r="C491" t="str">
            <v>013253959_LM_CarlosCarbajal</v>
          </cell>
          <cell r="D491" t="str">
            <v>M0861</v>
          </cell>
          <cell r="E491" t="str">
            <v>COBERTURA 2026</v>
          </cell>
          <cell r="F491" t="str">
            <v>Macros</v>
          </cell>
          <cell r="G491">
            <v>2026</v>
          </cell>
          <cell r="H491" t="str">
            <v>1 Q</v>
          </cell>
          <cell r="I491" t="str">
            <v>Almendra Vásquez</v>
          </cell>
          <cell r="J491" t="str">
            <v>En validación</v>
          </cell>
          <cell r="K491">
            <v>46035</v>
          </cell>
        </row>
        <row r="492">
          <cell r="B492" t="str">
            <v>MAC_Cobertura2026_12</v>
          </cell>
          <cell r="C492" t="str">
            <v>013254658_LM_QuebradaVerde</v>
          </cell>
          <cell r="D492" t="str">
            <v>M0861</v>
          </cell>
          <cell r="E492" t="str">
            <v>COBERTURA 2026</v>
          </cell>
          <cell r="F492" t="str">
            <v>Macros</v>
          </cell>
          <cell r="G492">
            <v>2026</v>
          </cell>
          <cell r="H492" t="str">
            <v>1 Q</v>
          </cell>
          <cell r="I492" t="str">
            <v>Almendra Vásquez</v>
          </cell>
          <cell r="J492" t="str">
            <v>En saneamiento</v>
          </cell>
          <cell r="K492">
            <v>46035</v>
          </cell>
        </row>
        <row r="493">
          <cell r="B493" t="str">
            <v>MAC_Cobertura2026_13</v>
          </cell>
          <cell r="C493" t="str">
            <v>013254307_LM_ColcaAltaDePuentePiedra</v>
          </cell>
          <cell r="D493" t="str">
            <v>M0861</v>
          </cell>
          <cell r="E493" t="str">
            <v>COBERTURA 2026</v>
          </cell>
          <cell r="F493" t="str">
            <v>Macros</v>
          </cell>
          <cell r="G493">
            <v>2026</v>
          </cell>
          <cell r="H493" t="str">
            <v>2Q</v>
          </cell>
          <cell r="I493" t="str">
            <v>Almendra Vásquez</v>
          </cell>
          <cell r="J493" t="str">
            <v>En Busqueda</v>
          </cell>
          <cell r="K493">
            <v>46035</v>
          </cell>
        </row>
        <row r="494">
          <cell r="B494" t="str">
            <v>MAC_Cobertura2026_14</v>
          </cell>
          <cell r="C494" t="str">
            <v>013254661_LM_PolideportivoLurin</v>
          </cell>
          <cell r="D494" t="str">
            <v>M0861</v>
          </cell>
          <cell r="E494" t="str">
            <v>COBERTURA 2026</v>
          </cell>
          <cell r="F494" t="str">
            <v>Macros</v>
          </cell>
          <cell r="G494">
            <v>2026</v>
          </cell>
          <cell r="H494" t="str">
            <v>1 Q</v>
          </cell>
          <cell r="I494" t="str">
            <v>Almendra Vásquez</v>
          </cell>
          <cell r="J494" t="str">
            <v>En Construcción</v>
          </cell>
          <cell r="K494">
            <v>46035</v>
          </cell>
        </row>
        <row r="495">
          <cell r="B495" t="str">
            <v>MAC_Cobertura2026_15</v>
          </cell>
          <cell r="C495" t="str">
            <v>013175604_LM_ParquePorcinoNorte</v>
          </cell>
          <cell r="D495" t="str">
            <v>M0861</v>
          </cell>
          <cell r="E495" t="str">
            <v>COBERTURA 2026</v>
          </cell>
          <cell r="F495" t="str">
            <v>Macros</v>
          </cell>
          <cell r="G495">
            <v>2026</v>
          </cell>
          <cell r="H495" t="str">
            <v>2Q</v>
          </cell>
          <cell r="I495" t="str">
            <v>Almendra Vásquez</v>
          </cell>
          <cell r="J495" t="str">
            <v>En Busqueda</v>
          </cell>
          <cell r="K495">
            <v>46035</v>
          </cell>
        </row>
        <row r="496">
          <cell r="B496" t="str">
            <v>MAC_Cobertura2026_16</v>
          </cell>
          <cell r="C496" t="str">
            <v>013255011_LM_SedeFiscalVilla</v>
          </cell>
          <cell r="D496" t="str">
            <v>M0861</v>
          </cell>
          <cell r="E496" t="str">
            <v>COBERTURA 2026</v>
          </cell>
          <cell r="F496" t="str">
            <v>Macros</v>
          </cell>
          <cell r="G496">
            <v>2026</v>
          </cell>
          <cell r="H496" t="str">
            <v>2Q</v>
          </cell>
          <cell r="I496" t="str">
            <v>Almendra Vásquez</v>
          </cell>
          <cell r="J496" t="str">
            <v>En Busqueda</v>
          </cell>
          <cell r="K496">
            <v>46035</v>
          </cell>
        </row>
        <row r="497">
          <cell r="B497" t="str">
            <v>MAC_Cobertura2026_17</v>
          </cell>
          <cell r="C497" t="str">
            <v>013253997_LM_DonPompeyo</v>
          </cell>
          <cell r="D497" t="str">
            <v>M0861</v>
          </cell>
          <cell r="E497" t="str">
            <v>COBERTURA 2026</v>
          </cell>
          <cell r="F497" t="str">
            <v>Macros</v>
          </cell>
          <cell r="G497">
            <v>2026</v>
          </cell>
          <cell r="H497" t="str">
            <v>2Q</v>
          </cell>
          <cell r="I497" t="str">
            <v>Almendra Vásquez</v>
          </cell>
          <cell r="J497" t="str">
            <v>En Busqueda</v>
          </cell>
          <cell r="K497">
            <v>46035</v>
          </cell>
        </row>
        <row r="498">
          <cell r="B498" t="str">
            <v>MAC_Cobertura2026_18</v>
          </cell>
          <cell r="C498" t="str">
            <v>013255018_LM_Antay</v>
          </cell>
          <cell r="D498" t="str">
            <v>M0861</v>
          </cell>
          <cell r="E498" t="str">
            <v>COBERTURA 2026</v>
          </cell>
          <cell r="F498" t="str">
            <v>Macros</v>
          </cell>
          <cell r="G498">
            <v>2026</v>
          </cell>
          <cell r="H498" t="str">
            <v>1 Q</v>
          </cell>
          <cell r="I498" t="str">
            <v>Almendra Vásquez</v>
          </cell>
          <cell r="J498" t="str">
            <v>En saneamiento</v>
          </cell>
          <cell r="K498">
            <v>46035</v>
          </cell>
        </row>
        <row r="499">
          <cell r="B499" t="str">
            <v>MAC_Cobertura2026_19</v>
          </cell>
          <cell r="C499" t="str">
            <v>013211034_IC_MiradorMarcona</v>
          </cell>
          <cell r="D499" t="str">
            <v>M0861</v>
          </cell>
          <cell r="E499" t="str">
            <v>COBERTURA 2026</v>
          </cell>
          <cell r="F499" t="str">
            <v>Macros</v>
          </cell>
          <cell r="G499">
            <v>2026</v>
          </cell>
          <cell r="H499" t="str">
            <v>1 Q</v>
          </cell>
          <cell r="I499" t="str">
            <v>Almendra Vásquez</v>
          </cell>
          <cell r="J499" t="str">
            <v>En validación</v>
          </cell>
          <cell r="K499">
            <v>46035</v>
          </cell>
        </row>
        <row r="500">
          <cell r="B500" t="str">
            <v>MAC_Cobertura2026_20</v>
          </cell>
          <cell r="C500" t="str">
            <v>013234432_LI_Masanca</v>
          </cell>
          <cell r="D500" t="str">
            <v>M0861</v>
          </cell>
          <cell r="E500" t="str">
            <v>COBERTURA 2026</v>
          </cell>
          <cell r="F500" t="str">
            <v>Macros</v>
          </cell>
          <cell r="G500">
            <v>2026</v>
          </cell>
          <cell r="H500" t="str">
            <v>1 Q</v>
          </cell>
          <cell r="I500" t="str">
            <v>Almendra Vásquez</v>
          </cell>
          <cell r="J500" t="str">
            <v>En saneamiento</v>
          </cell>
          <cell r="K500">
            <v>46035</v>
          </cell>
        </row>
        <row r="501">
          <cell r="B501" t="str">
            <v>MAC_Cobertura2026_21</v>
          </cell>
          <cell r="C501" t="str">
            <v>013234403_LI_JulianArce</v>
          </cell>
          <cell r="D501" t="str">
            <v>M0861</v>
          </cell>
          <cell r="E501" t="str">
            <v>COBERTURA 2026</v>
          </cell>
          <cell r="F501" t="str">
            <v>Macros</v>
          </cell>
          <cell r="G501">
            <v>2026</v>
          </cell>
          <cell r="H501" t="str">
            <v>2Q</v>
          </cell>
          <cell r="I501" t="str">
            <v>Almendra Vásquez</v>
          </cell>
          <cell r="J501" t="str">
            <v>En Busqueda</v>
          </cell>
          <cell r="K501">
            <v>46035</v>
          </cell>
        </row>
        <row r="502">
          <cell r="B502" t="str">
            <v>MAC_Cobertura2026_22</v>
          </cell>
          <cell r="C502" t="str">
            <v>013141761_AQ_LasCabrerias</v>
          </cell>
          <cell r="D502" t="str">
            <v>M0861</v>
          </cell>
          <cell r="E502" t="str">
            <v>COBERTURA 2026</v>
          </cell>
          <cell r="F502" t="str">
            <v>Macros</v>
          </cell>
          <cell r="G502">
            <v>2026</v>
          </cell>
          <cell r="H502" t="str">
            <v>2Q</v>
          </cell>
          <cell r="I502" t="str">
            <v>Almendra Vásquez</v>
          </cell>
          <cell r="J502" t="str">
            <v>En Busqueda</v>
          </cell>
          <cell r="K502">
            <v>46035</v>
          </cell>
        </row>
        <row r="503">
          <cell r="B503" t="str">
            <v>MAC_Cobertura2026_23</v>
          </cell>
          <cell r="C503" t="str">
            <v>013303040_PI_HuertoNuevoAmanecer</v>
          </cell>
          <cell r="D503" t="str">
            <v>M0861</v>
          </cell>
          <cell r="E503" t="str">
            <v>COBERTURA 2026</v>
          </cell>
          <cell r="F503" t="str">
            <v>Macros</v>
          </cell>
          <cell r="G503">
            <v>2026</v>
          </cell>
          <cell r="H503" t="str">
            <v>2Q</v>
          </cell>
          <cell r="I503" t="str">
            <v>Almendra Vásquez</v>
          </cell>
          <cell r="J503" t="str">
            <v>En validación</v>
          </cell>
          <cell r="K503">
            <v>46035</v>
          </cell>
        </row>
        <row r="504">
          <cell r="B504" t="str">
            <v>MAC_Cobertura2026_24</v>
          </cell>
          <cell r="C504" t="str">
            <v>013121043_AN_Arhuay</v>
          </cell>
          <cell r="D504" t="str">
            <v>M0861</v>
          </cell>
          <cell r="E504" t="str">
            <v>COBERTURA 2026</v>
          </cell>
          <cell r="F504" t="str">
            <v>Macros</v>
          </cell>
          <cell r="G504">
            <v>2026</v>
          </cell>
          <cell r="H504" t="str">
            <v>1 Q</v>
          </cell>
          <cell r="I504" t="str">
            <v>Almendra Vásquez</v>
          </cell>
          <cell r="J504" t="str">
            <v>En saneamiento</v>
          </cell>
          <cell r="K504">
            <v>46035</v>
          </cell>
        </row>
        <row r="505">
          <cell r="B505" t="str">
            <v>MAC_Cobertura2026_25</v>
          </cell>
          <cell r="C505" t="str">
            <v>013233797_LI_AvenidaEstadio</v>
          </cell>
          <cell r="D505" t="str">
            <v>M0861</v>
          </cell>
          <cell r="E505" t="str">
            <v>COBERTURA 2026</v>
          </cell>
          <cell r="F505" t="str">
            <v>Macros</v>
          </cell>
          <cell r="G505">
            <v>2026</v>
          </cell>
          <cell r="H505" t="str">
            <v>1 Q</v>
          </cell>
          <cell r="I505" t="str">
            <v>Almendra Vásquez</v>
          </cell>
          <cell r="J505" t="str">
            <v>ON AIR</v>
          </cell>
          <cell r="K505">
            <v>46035</v>
          </cell>
        </row>
        <row r="506">
          <cell r="B506" t="str">
            <v>MAC_Cobertura2026_26</v>
          </cell>
          <cell r="C506" t="str">
            <v>013164477_CA_UtcoCelendin</v>
          </cell>
          <cell r="D506" t="str">
            <v>M0861</v>
          </cell>
          <cell r="E506" t="str">
            <v>COBERTURA 2026</v>
          </cell>
          <cell r="F506" t="str">
            <v>Macros</v>
          </cell>
          <cell r="G506">
            <v>2026</v>
          </cell>
          <cell r="H506" t="str">
            <v>1 Q</v>
          </cell>
          <cell r="I506" t="str">
            <v>Almendra Vásquez</v>
          </cell>
          <cell r="J506" t="str">
            <v>Falta presupuesto</v>
          </cell>
          <cell r="K506">
            <v>46035</v>
          </cell>
        </row>
        <row r="507">
          <cell r="B507" t="str">
            <v>MAC_Cobertura2026_27</v>
          </cell>
          <cell r="C507" t="str">
            <v>013243931_LA_Arizola</v>
          </cell>
          <cell r="D507" t="str">
            <v>M0861</v>
          </cell>
          <cell r="E507" t="str">
            <v>COBERTURA 2026</v>
          </cell>
          <cell r="F507" t="str">
            <v>Macros</v>
          </cell>
          <cell r="G507">
            <v>2026</v>
          </cell>
          <cell r="H507" t="str">
            <v>2Q</v>
          </cell>
          <cell r="I507" t="str">
            <v>Almendra Vásquez</v>
          </cell>
          <cell r="J507" t="str">
            <v>En Busqueda</v>
          </cell>
          <cell r="K507">
            <v>46035</v>
          </cell>
        </row>
        <row r="508">
          <cell r="B508" t="str">
            <v>MAC_Cobertura2026_28</v>
          </cell>
          <cell r="C508" t="str">
            <v>013121702_AN_Interoceanica</v>
          </cell>
          <cell r="D508" t="str">
            <v>M0861</v>
          </cell>
          <cell r="E508" t="str">
            <v>COBERTURA 2026</v>
          </cell>
          <cell r="F508" t="str">
            <v>Macros</v>
          </cell>
          <cell r="G508">
            <v>2026</v>
          </cell>
          <cell r="H508" t="str">
            <v>2Q</v>
          </cell>
          <cell r="I508" t="str">
            <v>Almendra Vásquez</v>
          </cell>
          <cell r="J508" t="str">
            <v>En Busqueda</v>
          </cell>
          <cell r="K508">
            <v>46035</v>
          </cell>
        </row>
        <row r="509">
          <cell r="B509" t="str">
            <v>MAC_Cobertura2026_29</v>
          </cell>
          <cell r="C509" t="str">
            <v>013121701_AN_EstadioDeCoishco</v>
          </cell>
          <cell r="D509" t="str">
            <v>M0861</v>
          </cell>
          <cell r="E509" t="str">
            <v>COBERTURA 2026</v>
          </cell>
          <cell r="F509" t="str">
            <v>Macros</v>
          </cell>
          <cell r="G509">
            <v>2026</v>
          </cell>
          <cell r="H509" t="str">
            <v>2Q</v>
          </cell>
          <cell r="I509" t="str">
            <v>Almendra Vásquez</v>
          </cell>
          <cell r="J509" t="str">
            <v>En Busqueda</v>
          </cell>
          <cell r="K509">
            <v>46035</v>
          </cell>
        </row>
        <row r="510">
          <cell r="B510" t="str">
            <v>MAC_Cobertura2026_30</v>
          </cell>
          <cell r="C510" t="str">
            <v>013141801_AQ_VirgenCopacabana</v>
          </cell>
          <cell r="D510" t="str">
            <v>M0861</v>
          </cell>
          <cell r="E510" t="str">
            <v>COBERTURA 2026</v>
          </cell>
          <cell r="F510" t="str">
            <v>Macros</v>
          </cell>
          <cell r="G510">
            <v>2026</v>
          </cell>
          <cell r="H510" t="str">
            <v>1 Q</v>
          </cell>
          <cell r="I510" t="str">
            <v>Almendra Vásquez</v>
          </cell>
          <cell r="J510" t="str">
            <v>En Construcción</v>
          </cell>
          <cell r="K510">
            <v>46035</v>
          </cell>
        </row>
        <row r="511">
          <cell r="B511" t="str">
            <v>MAC_Cobertura2026_31</v>
          </cell>
          <cell r="C511" t="str">
            <v>013213149_IC_InkaHuasi</v>
          </cell>
          <cell r="D511" t="str">
            <v>M0861</v>
          </cell>
          <cell r="E511" t="str">
            <v>COBERTURA 2026</v>
          </cell>
          <cell r="F511" t="str">
            <v>Macros</v>
          </cell>
          <cell r="G511">
            <v>2026</v>
          </cell>
          <cell r="H511" t="str">
            <v>1 Q</v>
          </cell>
          <cell r="I511" t="str">
            <v>Almendra Vásquez</v>
          </cell>
          <cell r="J511" t="str">
            <v>ON AIR</v>
          </cell>
          <cell r="K511">
            <v>46035</v>
          </cell>
        </row>
        <row r="512">
          <cell r="B512" t="str">
            <v>MAC_Cobertura2026_32</v>
          </cell>
          <cell r="C512" t="str">
            <v>013311895_PN_Torocha</v>
          </cell>
          <cell r="D512" t="str">
            <v>M0861</v>
          </cell>
          <cell r="E512" t="str">
            <v>COBERTURA 2026</v>
          </cell>
          <cell r="F512" t="str">
            <v>Macros</v>
          </cell>
          <cell r="G512">
            <v>2026</v>
          </cell>
          <cell r="H512" t="str">
            <v>1 Q</v>
          </cell>
          <cell r="I512" t="str">
            <v>Almendra Vásquez</v>
          </cell>
          <cell r="J512" t="str">
            <v>En Construcción</v>
          </cell>
          <cell r="K512">
            <v>46035</v>
          </cell>
        </row>
        <row r="513">
          <cell r="B513" t="str">
            <v>MAC_Cobertura2026_34</v>
          </cell>
          <cell r="C513" t="str">
            <v>013312089_PN_Jalluni</v>
          </cell>
          <cell r="D513" t="str">
            <v>M0861</v>
          </cell>
          <cell r="E513" t="str">
            <v>COBERTURA 2026</v>
          </cell>
          <cell r="F513" t="str">
            <v>Macros</v>
          </cell>
          <cell r="G513">
            <v>2026</v>
          </cell>
          <cell r="H513" t="str">
            <v>1 Q</v>
          </cell>
          <cell r="I513" t="str">
            <v>Almendra Vásquez</v>
          </cell>
          <cell r="J513" t="str">
            <v>En saneamiento</v>
          </cell>
          <cell r="K513">
            <v>46035</v>
          </cell>
        </row>
        <row r="514">
          <cell r="B514" t="str">
            <v>MAC_Cobertura2026_35</v>
          </cell>
          <cell r="C514" t="str">
            <v>013303045_PI_LaPeca</v>
          </cell>
          <cell r="D514" t="str">
            <v>M0861</v>
          </cell>
          <cell r="E514" t="str">
            <v>COBERTURA 2026</v>
          </cell>
          <cell r="F514" t="str">
            <v>Macros</v>
          </cell>
          <cell r="G514">
            <v>2026</v>
          </cell>
          <cell r="H514" t="str">
            <v>1 Q</v>
          </cell>
          <cell r="I514" t="str">
            <v>Almendra Vásquez</v>
          </cell>
          <cell r="J514" t="str">
            <v>En Construcción</v>
          </cell>
          <cell r="K514">
            <v>46035</v>
          </cell>
        </row>
        <row r="515">
          <cell r="B515" t="str">
            <v>MAC_Cobertura2026_36</v>
          </cell>
          <cell r="C515" t="str">
            <v>013141804_AQ_ColiseoChachani</v>
          </cell>
          <cell r="D515" t="str">
            <v>M0861</v>
          </cell>
          <cell r="E515" t="str">
            <v>COBERTURA 2026</v>
          </cell>
          <cell r="F515" t="str">
            <v>Macros</v>
          </cell>
          <cell r="G515">
            <v>2026</v>
          </cell>
          <cell r="H515" t="str">
            <v>2Q</v>
          </cell>
          <cell r="I515" t="str">
            <v>Almendra Vásquez</v>
          </cell>
          <cell r="J515" t="str">
            <v>En Busqueda</v>
          </cell>
          <cell r="K515">
            <v>46035</v>
          </cell>
        </row>
        <row r="516">
          <cell r="B516" t="str">
            <v>MAC_Cobertura2026_37</v>
          </cell>
          <cell r="C516" t="str">
            <v>013121738_AN_TunelDeCoishco</v>
          </cell>
          <cell r="D516" t="str">
            <v>M0861</v>
          </cell>
          <cell r="E516" t="str">
            <v>COBERTURA 2026</v>
          </cell>
          <cell r="F516" t="str">
            <v>Macros</v>
          </cell>
          <cell r="G516">
            <v>2026</v>
          </cell>
          <cell r="H516" t="str">
            <v>1 Q</v>
          </cell>
          <cell r="I516" t="str">
            <v>Almendra Vásquez</v>
          </cell>
          <cell r="J516" t="str">
            <v>En saneamiento</v>
          </cell>
          <cell r="K516">
            <v>46035</v>
          </cell>
        </row>
        <row r="517">
          <cell r="B517" t="str">
            <v>MAC_Cobertura2026_38</v>
          </cell>
          <cell r="C517" t="str">
            <v>013331019_TA_TorreFuerte</v>
          </cell>
          <cell r="D517" t="str">
            <v>M0861</v>
          </cell>
          <cell r="E517" t="str">
            <v>COBERTURA 2026</v>
          </cell>
          <cell r="F517" t="str">
            <v>Macros</v>
          </cell>
          <cell r="G517">
            <v>2026</v>
          </cell>
          <cell r="H517" t="str">
            <v>1 Q</v>
          </cell>
          <cell r="I517" t="str">
            <v>Almendra Vásquez</v>
          </cell>
          <cell r="J517" t="str">
            <v>En saneamiento</v>
          </cell>
          <cell r="K517">
            <v>46035</v>
          </cell>
        </row>
        <row r="518">
          <cell r="B518" t="str">
            <v>MAC_Cobertura2026_39</v>
          </cell>
          <cell r="C518" t="str">
            <v>013211555_IC_CasaHaciendaNazca</v>
          </cell>
          <cell r="D518" t="str">
            <v>M0861</v>
          </cell>
          <cell r="E518" t="str">
            <v>COBERTURA 2026</v>
          </cell>
          <cell r="F518" t="str">
            <v>Macros</v>
          </cell>
          <cell r="G518">
            <v>2026</v>
          </cell>
          <cell r="H518" t="str">
            <v>1 Q</v>
          </cell>
          <cell r="I518" t="str">
            <v>Almendra Vásquez</v>
          </cell>
          <cell r="J518" t="str">
            <v>En Gestion AP</v>
          </cell>
          <cell r="K518">
            <v>46035</v>
          </cell>
        </row>
        <row r="519">
          <cell r="B519" t="str">
            <v>MAC_Cobertura2026_40</v>
          </cell>
          <cell r="C519" t="str">
            <v>013121725_AN_Rataquenua</v>
          </cell>
          <cell r="D519" t="str">
            <v>M0861</v>
          </cell>
          <cell r="E519" t="str">
            <v>COBERTURA 2026</v>
          </cell>
          <cell r="F519" t="str">
            <v>Macros</v>
          </cell>
          <cell r="G519">
            <v>2026</v>
          </cell>
          <cell r="H519" t="str">
            <v>1 Q</v>
          </cell>
          <cell r="I519" t="str">
            <v>Almendra Vásquez</v>
          </cell>
          <cell r="J519" t="str">
            <v>En saneamiento</v>
          </cell>
          <cell r="K519">
            <v>46035</v>
          </cell>
        </row>
        <row r="520">
          <cell r="B520" t="str">
            <v>MAC_Cobertura2026_41</v>
          </cell>
          <cell r="C520" t="str">
            <v>013211558_IC_Massaro</v>
          </cell>
          <cell r="D520" t="str">
            <v>M0861</v>
          </cell>
          <cell r="E520" t="str">
            <v>COBERTURA 2026</v>
          </cell>
          <cell r="F520" t="str">
            <v>Macros</v>
          </cell>
          <cell r="G520">
            <v>2026</v>
          </cell>
          <cell r="H520" t="str">
            <v>1 Q</v>
          </cell>
          <cell r="I520" t="str">
            <v>Almendra Vásquez</v>
          </cell>
          <cell r="J520" t="str">
            <v>En Construcción</v>
          </cell>
          <cell r="K520">
            <v>46035</v>
          </cell>
        </row>
        <row r="521">
          <cell r="B521" t="str">
            <v>MAC_Cobertura2026_42</v>
          </cell>
          <cell r="C521" t="str">
            <v>013164024_CA_MosquetaMollepampa</v>
          </cell>
          <cell r="D521" t="str">
            <v>M0861</v>
          </cell>
          <cell r="E521" t="str">
            <v>COBERTURA 2026</v>
          </cell>
          <cell r="F521" t="str">
            <v>Macros</v>
          </cell>
          <cell r="G521">
            <v>2026</v>
          </cell>
          <cell r="H521" t="str">
            <v>1 Q</v>
          </cell>
          <cell r="I521" t="str">
            <v>Almendra Vásquez</v>
          </cell>
          <cell r="J521" t="str">
            <v>Falta presupuesto</v>
          </cell>
          <cell r="K521">
            <v>46035</v>
          </cell>
        </row>
        <row r="522">
          <cell r="B522" t="str">
            <v>MAC_Cobertura2026_43</v>
          </cell>
          <cell r="C522" t="str">
            <v>013141810_AQ_CiudadMiTrabajo</v>
          </cell>
          <cell r="D522" t="str">
            <v>M0861</v>
          </cell>
          <cell r="E522" t="str">
            <v>COBERTURA 2026</v>
          </cell>
          <cell r="F522" t="str">
            <v>Macros</v>
          </cell>
          <cell r="G522">
            <v>2026</v>
          </cell>
          <cell r="H522" t="str">
            <v>1 Q</v>
          </cell>
          <cell r="I522" t="str">
            <v>Almendra Vásquez</v>
          </cell>
          <cell r="J522" t="str">
            <v>En Construcción</v>
          </cell>
          <cell r="K522">
            <v>46035</v>
          </cell>
        </row>
        <row r="523">
          <cell r="B523" t="str">
            <v>MAC_Cobertura2026_44</v>
          </cell>
          <cell r="C523" t="str">
            <v>013303629_PI_ViaSalitral</v>
          </cell>
          <cell r="D523" t="str">
            <v>M0861</v>
          </cell>
          <cell r="E523" t="str">
            <v>COBERTURA 2026</v>
          </cell>
          <cell r="F523" t="str">
            <v>Macros</v>
          </cell>
          <cell r="G523">
            <v>2026</v>
          </cell>
          <cell r="H523" t="str">
            <v>1 Q</v>
          </cell>
          <cell r="I523" t="str">
            <v>Almendra Vásquez</v>
          </cell>
          <cell r="J523" t="str">
            <v>ON AIR</v>
          </cell>
          <cell r="K523">
            <v>46035</v>
          </cell>
        </row>
        <row r="524">
          <cell r="B524" t="str">
            <v>MAC_Cobertura2026_45</v>
          </cell>
          <cell r="C524" t="str">
            <v>013243968_LA_MuseoArqueologico</v>
          </cell>
          <cell r="D524" t="str">
            <v>M0861</v>
          </cell>
          <cell r="E524" t="str">
            <v>COBERTURA 2026</v>
          </cell>
          <cell r="F524" t="str">
            <v>Macros</v>
          </cell>
          <cell r="G524">
            <v>2026</v>
          </cell>
          <cell r="H524" t="str">
            <v>1 Q</v>
          </cell>
          <cell r="I524" t="str">
            <v>Almendra Vásquez</v>
          </cell>
          <cell r="J524" t="str">
            <v>En saneamiento</v>
          </cell>
          <cell r="K524">
            <v>46035</v>
          </cell>
        </row>
        <row r="525">
          <cell r="B525" t="str">
            <v>MAC_Cobertura2026_46</v>
          </cell>
          <cell r="C525" t="str">
            <v>013313082_PN_ResidencialJuliacaAeropuerto</v>
          </cell>
          <cell r="D525" t="str">
            <v>M0861</v>
          </cell>
          <cell r="E525" t="str">
            <v>COBERTURA 2026</v>
          </cell>
          <cell r="F525" t="str">
            <v>Macros</v>
          </cell>
          <cell r="G525">
            <v>2026</v>
          </cell>
          <cell r="H525" t="str">
            <v>1 Q</v>
          </cell>
          <cell r="I525" t="str">
            <v>Almendra Vásquez</v>
          </cell>
          <cell r="J525" t="str">
            <v>En Construcción</v>
          </cell>
          <cell r="K525">
            <v>46035</v>
          </cell>
        </row>
        <row r="526">
          <cell r="B526" t="str">
            <v>MAC_Cobertura2026_47</v>
          </cell>
          <cell r="C526" t="str">
            <v>013216215_IC_PlazaCajuca</v>
          </cell>
          <cell r="D526" t="str">
            <v>M0861</v>
          </cell>
          <cell r="E526" t="str">
            <v>COBERTURA 2026</v>
          </cell>
          <cell r="F526" t="str">
            <v>Macros</v>
          </cell>
          <cell r="G526">
            <v>2026</v>
          </cell>
          <cell r="H526" t="str">
            <v>1 Q</v>
          </cell>
          <cell r="I526" t="str">
            <v>Almendra Vásquez</v>
          </cell>
          <cell r="J526" t="str">
            <v>Falta presupuesto</v>
          </cell>
          <cell r="K526">
            <v>46035</v>
          </cell>
        </row>
        <row r="527">
          <cell r="B527" t="str">
            <v>MAC_Cobertura2026_48</v>
          </cell>
          <cell r="C527" t="str">
            <v>013252125_LM_NorAndina</v>
          </cell>
          <cell r="D527" t="str">
            <v>M0861</v>
          </cell>
          <cell r="E527" t="str">
            <v>COBERTURA 2026</v>
          </cell>
          <cell r="F527" t="str">
            <v>Macros</v>
          </cell>
          <cell r="G527">
            <v>2026</v>
          </cell>
          <cell r="H527" t="str">
            <v>1 Q</v>
          </cell>
          <cell r="I527" t="str">
            <v>Almendra Vásquez</v>
          </cell>
          <cell r="J527" t="str">
            <v>En saneamiento</v>
          </cell>
          <cell r="K527">
            <v>46035</v>
          </cell>
        </row>
        <row r="528">
          <cell r="B528" t="str">
            <v>MAC_Cobertura2026_49</v>
          </cell>
          <cell r="C528" t="str">
            <v>013303030_PI_CerroRucutuyu</v>
          </cell>
          <cell r="D528" t="str">
            <v>M0861</v>
          </cell>
          <cell r="E528" t="str">
            <v>COBERTURA 2026</v>
          </cell>
          <cell r="F528" t="str">
            <v>Macros</v>
          </cell>
          <cell r="G528">
            <v>2026</v>
          </cell>
          <cell r="H528" t="str">
            <v>1 Q</v>
          </cell>
          <cell r="I528" t="str">
            <v>Almendra Vásquez</v>
          </cell>
          <cell r="J528" t="str">
            <v>Saneo - Obras</v>
          </cell>
          <cell r="K528">
            <v>46035</v>
          </cell>
        </row>
        <row r="529">
          <cell r="B529" t="str">
            <v>MAC_Cobertura2026_50</v>
          </cell>
          <cell r="C529" t="str">
            <v>013303052_PI_CitanDeMontero</v>
          </cell>
          <cell r="D529" t="str">
            <v>M0861</v>
          </cell>
          <cell r="E529" t="str">
            <v>COBERTURA 2026</v>
          </cell>
          <cell r="F529" t="str">
            <v>Macros</v>
          </cell>
          <cell r="G529">
            <v>2026</v>
          </cell>
          <cell r="H529" t="str">
            <v>2Q</v>
          </cell>
          <cell r="I529" t="str">
            <v>Almendra Vásquez</v>
          </cell>
          <cell r="J529" t="str">
            <v>En Busqueda</v>
          </cell>
          <cell r="K529">
            <v>46035</v>
          </cell>
        </row>
        <row r="530">
          <cell r="B530" t="str">
            <v>MAC_Cobertura2026_51</v>
          </cell>
          <cell r="C530" t="str">
            <v>013254712_LM_ElTrebolDeHuaral</v>
          </cell>
          <cell r="D530" t="str">
            <v>M0861</v>
          </cell>
          <cell r="E530" t="str">
            <v>COBERTURA 2026</v>
          </cell>
          <cell r="F530" t="str">
            <v>Macros</v>
          </cell>
          <cell r="G530">
            <v>2026</v>
          </cell>
          <cell r="H530" t="str">
            <v>1 Q</v>
          </cell>
          <cell r="I530" t="str">
            <v>Almendra Vásquez</v>
          </cell>
          <cell r="J530" t="str">
            <v>En validación</v>
          </cell>
          <cell r="K530">
            <v>46035</v>
          </cell>
        </row>
        <row r="531">
          <cell r="B531" t="str">
            <v>MAC_Cobertura2026_52</v>
          </cell>
          <cell r="C531" t="str">
            <v>013252007_LM_Batiment</v>
          </cell>
          <cell r="D531" t="str">
            <v>M0861</v>
          </cell>
          <cell r="E531" t="str">
            <v>COBERTURA 2026</v>
          </cell>
          <cell r="F531" t="str">
            <v>Macros</v>
          </cell>
          <cell r="G531">
            <v>2026</v>
          </cell>
          <cell r="H531" t="str">
            <v>1 Q</v>
          </cell>
          <cell r="I531" t="str">
            <v>Almendra Vásquez</v>
          </cell>
          <cell r="J531" t="str">
            <v>ON AIR</v>
          </cell>
          <cell r="K531">
            <v>46035</v>
          </cell>
        </row>
        <row r="532">
          <cell r="B532" t="str">
            <v>MAC_Cobertura2026_53</v>
          </cell>
          <cell r="C532" t="str">
            <v>013165219_CA_VigotskyCajamarca</v>
          </cell>
          <cell r="D532" t="str">
            <v>M0861</v>
          </cell>
          <cell r="E532" t="str">
            <v>COBERTURA 2026</v>
          </cell>
          <cell r="F532" t="str">
            <v>Macros</v>
          </cell>
          <cell r="G532">
            <v>2026</v>
          </cell>
          <cell r="H532" t="str">
            <v>1 Q</v>
          </cell>
          <cell r="I532" t="str">
            <v>Almendra Vásquez</v>
          </cell>
          <cell r="J532" t="str">
            <v>En Construcción</v>
          </cell>
          <cell r="K532">
            <v>46035</v>
          </cell>
        </row>
        <row r="533">
          <cell r="B533" t="str">
            <v>MAC_Cobertura2026_54</v>
          </cell>
          <cell r="C533" t="str">
            <v>013252068_LM_AsociacionRioSeco</v>
          </cell>
          <cell r="D533" t="str">
            <v>M0861</v>
          </cell>
          <cell r="E533" t="str">
            <v>COBERTURA 2026</v>
          </cell>
          <cell r="F533" t="str">
            <v>Macros</v>
          </cell>
          <cell r="G533">
            <v>2026</v>
          </cell>
          <cell r="H533" t="str">
            <v>2Q</v>
          </cell>
          <cell r="I533" t="str">
            <v>Almendra Vásquez</v>
          </cell>
          <cell r="J533" t="str">
            <v>En Busqueda</v>
          </cell>
          <cell r="K533">
            <v>46035</v>
          </cell>
        </row>
        <row r="534">
          <cell r="B534" t="str">
            <v>MAC_Cobertura2026_55</v>
          </cell>
          <cell r="C534" t="str">
            <v>013140191_AQ_CanteraApipa</v>
          </cell>
          <cell r="D534" t="str">
            <v>M0861</v>
          </cell>
          <cell r="E534" t="str">
            <v>COBERTURA 2026</v>
          </cell>
          <cell r="F534" t="str">
            <v>Macros</v>
          </cell>
          <cell r="G534">
            <v>2026</v>
          </cell>
          <cell r="H534" t="str">
            <v>1 Q</v>
          </cell>
          <cell r="I534" t="str">
            <v>Almendra Vásquez</v>
          </cell>
          <cell r="J534" t="str">
            <v>En Busqueda</v>
          </cell>
          <cell r="K534">
            <v>46035</v>
          </cell>
        </row>
        <row r="535">
          <cell r="B535" t="str">
            <v>MAC_Cobertura2026_56</v>
          </cell>
          <cell r="C535" t="str">
            <v>013305824_PI_NuevoBazan</v>
          </cell>
          <cell r="D535" t="str">
            <v>M0861</v>
          </cell>
          <cell r="E535" t="str">
            <v>COBERTURA 2026</v>
          </cell>
          <cell r="F535" t="str">
            <v>Macros</v>
          </cell>
          <cell r="G535">
            <v>2026</v>
          </cell>
          <cell r="H535" t="str">
            <v>1 Q</v>
          </cell>
          <cell r="I535" t="str">
            <v>Almendra Vásquez</v>
          </cell>
          <cell r="J535" t="str">
            <v>Saneo - Obras</v>
          </cell>
          <cell r="K535">
            <v>46035</v>
          </cell>
        </row>
        <row r="536">
          <cell r="B536" t="str">
            <v>MAC_Cobertura2026_57</v>
          </cell>
          <cell r="C536" t="str">
            <v>013255885_LM_LaderasDeLaMolina</v>
          </cell>
          <cell r="D536" t="str">
            <v>M0861</v>
          </cell>
          <cell r="E536" t="str">
            <v>COBERTURA 2026</v>
          </cell>
          <cell r="F536" t="str">
            <v>Macros</v>
          </cell>
          <cell r="G536">
            <v>2026</v>
          </cell>
          <cell r="H536" t="str">
            <v>2Q</v>
          </cell>
          <cell r="I536" t="str">
            <v>Almendra Vásquez</v>
          </cell>
          <cell r="J536" t="str">
            <v>En Busqueda</v>
          </cell>
          <cell r="K536">
            <v>46035</v>
          </cell>
        </row>
        <row r="537">
          <cell r="B537" t="str">
            <v>MAC_Cobertura2026_58</v>
          </cell>
          <cell r="C537" t="str">
            <v>013252350_LM_CanchaJosefinaRamos</v>
          </cell>
          <cell r="D537" t="str">
            <v>M0861</v>
          </cell>
          <cell r="E537" t="str">
            <v>COBERTURA 2026</v>
          </cell>
          <cell r="F537" t="str">
            <v>Macros</v>
          </cell>
          <cell r="G537">
            <v>2026</v>
          </cell>
          <cell r="H537" t="str">
            <v>1 Q</v>
          </cell>
          <cell r="I537" t="str">
            <v>Almendra Vásquez</v>
          </cell>
          <cell r="J537" t="str">
            <v>En saneamiento</v>
          </cell>
          <cell r="K537">
            <v>46035</v>
          </cell>
        </row>
        <row r="538">
          <cell r="B538" t="str">
            <v>MAC_Cobertura2026_59</v>
          </cell>
          <cell r="C538" t="str">
            <v>013250519_LM_AldeaCampesina</v>
          </cell>
          <cell r="D538" t="str">
            <v>M0861</v>
          </cell>
          <cell r="E538" t="str">
            <v>COBERTURA 2026</v>
          </cell>
          <cell r="F538" t="str">
            <v>Macros</v>
          </cell>
          <cell r="G538">
            <v>2026</v>
          </cell>
          <cell r="H538" t="str">
            <v>1 Q</v>
          </cell>
          <cell r="I538" t="str">
            <v>Almendra Vásquez</v>
          </cell>
          <cell r="J538" t="str">
            <v>En Construcción</v>
          </cell>
          <cell r="K538">
            <v>46035</v>
          </cell>
        </row>
        <row r="539">
          <cell r="B539" t="str">
            <v>MAC_Cobertura2026_60</v>
          </cell>
          <cell r="C539" t="str">
            <v>013253329_LM_CiudadPyme</v>
          </cell>
          <cell r="D539" t="str">
            <v>M0861</v>
          </cell>
          <cell r="E539" t="str">
            <v>COBERTURA 2026</v>
          </cell>
          <cell r="F539" t="str">
            <v>Macros</v>
          </cell>
          <cell r="G539">
            <v>2026</v>
          </cell>
          <cell r="H539" t="str">
            <v>1 Q</v>
          </cell>
          <cell r="I539" t="str">
            <v>Almendra Vásquez</v>
          </cell>
          <cell r="J539" t="str">
            <v>En saneamiento</v>
          </cell>
          <cell r="K539">
            <v>46035</v>
          </cell>
        </row>
        <row r="540">
          <cell r="B540" t="str">
            <v>MAC_Cobertura2026_61</v>
          </cell>
          <cell r="C540" t="str">
            <v>013252001_LM_Crisanta</v>
          </cell>
          <cell r="D540" t="str">
            <v>M0861</v>
          </cell>
          <cell r="E540" t="str">
            <v>COBERTURA 2026</v>
          </cell>
          <cell r="F540" t="str">
            <v>Macros</v>
          </cell>
          <cell r="G540">
            <v>2026</v>
          </cell>
          <cell r="H540" t="str">
            <v>1 Q</v>
          </cell>
          <cell r="I540" t="str">
            <v>Almendra Vásquez</v>
          </cell>
          <cell r="J540" t="str">
            <v>En saneamiento</v>
          </cell>
          <cell r="K540">
            <v>46035</v>
          </cell>
        </row>
        <row r="541">
          <cell r="B541" t="str">
            <v>MAC_Cobertura2026_62</v>
          </cell>
          <cell r="C541" t="str">
            <v>013121300_AN_ChavinHuaraz</v>
          </cell>
          <cell r="D541" t="str">
            <v>M0861</v>
          </cell>
          <cell r="E541" t="str">
            <v>COBERTURA 2026</v>
          </cell>
          <cell r="F541" t="str">
            <v>Macros</v>
          </cell>
          <cell r="G541">
            <v>2026</v>
          </cell>
          <cell r="H541" t="str">
            <v>2Q</v>
          </cell>
          <cell r="I541" t="str">
            <v>Almendra Vásquez</v>
          </cell>
          <cell r="J541" t="str">
            <v>En Busqueda</v>
          </cell>
          <cell r="K541">
            <v>46035</v>
          </cell>
        </row>
        <row r="542">
          <cell r="B542" t="str">
            <v>MAC_Cobertura2026_63</v>
          </cell>
          <cell r="C542" t="str">
            <v>013210632_IC_TradicionIquena</v>
          </cell>
          <cell r="D542" t="str">
            <v>M0861</v>
          </cell>
          <cell r="E542" t="str">
            <v>COBERTURA 2026</v>
          </cell>
          <cell r="F542" t="str">
            <v>Macros</v>
          </cell>
          <cell r="G542">
            <v>2026</v>
          </cell>
          <cell r="H542" t="str">
            <v>1 Q</v>
          </cell>
          <cell r="I542" t="str">
            <v>Almendra Vásquez</v>
          </cell>
          <cell r="J542" t="str">
            <v>En Construcción</v>
          </cell>
          <cell r="K542">
            <v>46035</v>
          </cell>
        </row>
        <row r="543">
          <cell r="B543" t="str">
            <v>MAC_Cobertura2026_64</v>
          </cell>
          <cell r="C543" t="str">
            <v>013121301_AN_JardinesNuevoChimbote</v>
          </cell>
          <cell r="D543" t="str">
            <v>M0861</v>
          </cell>
          <cell r="E543" t="str">
            <v>COBERTURA 2026</v>
          </cell>
          <cell r="F543" t="str">
            <v>Macros</v>
          </cell>
          <cell r="G543">
            <v>2026</v>
          </cell>
          <cell r="H543" t="str">
            <v>2Q</v>
          </cell>
          <cell r="I543" t="str">
            <v>Almendra Vásquez</v>
          </cell>
          <cell r="J543" t="str">
            <v>En validación</v>
          </cell>
          <cell r="K543">
            <v>46035</v>
          </cell>
        </row>
        <row r="544">
          <cell r="B544" t="str">
            <v>MAC_Cobertura2026_65</v>
          </cell>
          <cell r="C544" t="str">
            <v>013250792_LM_Taurichumpi</v>
          </cell>
          <cell r="D544" t="str">
            <v>M0861</v>
          </cell>
          <cell r="E544" t="str">
            <v>COBERTURA 2026</v>
          </cell>
          <cell r="F544" t="str">
            <v>Macros</v>
          </cell>
          <cell r="G544">
            <v>2026</v>
          </cell>
          <cell r="H544" t="str">
            <v>2Q</v>
          </cell>
          <cell r="I544" t="str">
            <v>Almendra Vásquez</v>
          </cell>
          <cell r="J544" t="str">
            <v>En Busqueda</v>
          </cell>
          <cell r="K544">
            <v>46035</v>
          </cell>
        </row>
        <row r="545">
          <cell r="B545" t="str">
            <v>MAC_Cobertura2026_66</v>
          </cell>
          <cell r="C545" t="str">
            <v>013254062_LM_LaderasDeChillon</v>
          </cell>
          <cell r="D545" t="str">
            <v>M0861</v>
          </cell>
          <cell r="E545" t="str">
            <v>COBERTURA 2026</v>
          </cell>
          <cell r="F545" t="str">
            <v>Macros</v>
          </cell>
          <cell r="G545">
            <v>2026</v>
          </cell>
          <cell r="H545" t="str">
            <v>2Q</v>
          </cell>
          <cell r="I545" t="str">
            <v>Almendra Vásquez</v>
          </cell>
          <cell r="J545" t="str">
            <v>En Busqueda</v>
          </cell>
          <cell r="K545">
            <v>46035</v>
          </cell>
        </row>
        <row r="546">
          <cell r="B546" t="str">
            <v>MAC_Cobertura2026_67</v>
          </cell>
          <cell r="C546" t="str">
            <v>013254218_LM_AvenidaCooperativa</v>
          </cell>
          <cell r="D546" t="str">
            <v>M0861</v>
          </cell>
          <cell r="E546" t="str">
            <v>COBERTURA 2026</v>
          </cell>
          <cell r="F546" t="str">
            <v>Macros</v>
          </cell>
          <cell r="G546">
            <v>2026</v>
          </cell>
          <cell r="H546" t="str">
            <v>2Q</v>
          </cell>
          <cell r="I546" t="str">
            <v>Almendra Vásquez</v>
          </cell>
          <cell r="J546" t="str">
            <v>En Busqueda</v>
          </cell>
          <cell r="K546">
            <v>46035</v>
          </cell>
        </row>
        <row r="547">
          <cell r="B547" t="str">
            <v>MAC_Cobertura2026_68</v>
          </cell>
          <cell r="C547" t="str">
            <v>013255871_LM_CallesHuaca</v>
          </cell>
          <cell r="D547" t="str">
            <v>M0861</v>
          </cell>
          <cell r="E547" t="str">
            <v>COBERTURA 2026</v>
          </cell>
          <cell r="F547" t="str">
            <v>Macros</v>
          </cell>
          <cell r="G547">
            <v>2026</v>
          </cell>
          <cell r="H547" t="str">
            <v>2Q</v>
          </cell>
          <cell r="I547" t="str">
            <v>Almendra Vásquez</v>
          </cell>
          <cell r="J547" t="str">
            <v>En Busqueda</v>
          </cell>
          <cell r="K547">
            <v>46035</v>
          </cell>
        </row>
        <row r="548">
          <cell r="B548" t="str">
            <v>MAC_Cobertura2026_69</v>
          </cell>
          <cell r="C548" t="str">
            <v>013140492_AQ_Bavaria</v>
          </cell>
          <cell r="D548" t="str">
            <v>M0861</v>
          </cell>
          <cell r="E548" t="str">
            <v>COBERTURA 2026</v>
          </cell>
          <cell r="F548" t="str">
            <v>Macros</v>
          </cell>
          <cell r="G548">
            <v>2026</v>
          </cell>
          <cell r="H548" t="str">
            <v>2Q</v>
          </cell>
          <cell r="I548" t="str">
            <v>Almendra Vásquez</v>
          </cell>
          <cell r="J548" t="str">
            <v>En Busqueda</v>
          </cell>
          <cell r="K548">
            <v>46035</v>
          </cell>
        </row>
        <row r="549">
          <cell r="B549" t="str">
            <v>MAC_Cobertura2026_70</v>
          </cell>
          <cell r="C549" t="str">
            <v>013251312_LM_MiradorSantaRosa</v>
          </cell>
          <cell r="D549" t="str">
            <v>M0861</v>
          </cell>
          <cell r="E549" t="str">
            <v>COBERTURA 2026</v>
          </cell>
          <cell r="F549" t="str">
            <v>Macros</v>
          </cell>
          <cell r="G549">
            <v>2026</v>
          </cell>
          <cell r="H549" t="str">
            <v>1 Q</v>
          </cell>
          <cell r="I549" t="str">
            <v>Almendra Vásquez</v>
          </cell>
          <cell r="J549" t="str">
            <v>En saneamiento</v>
          </cell>
          <cell r="K549">
            <v>46035</v>
          </cell>
        </row>
        <row r="550">
          <cell r="B550" t="str">
            <v>MAC_Cobertura2026_71</v>
          </cell>
          <cell r="C550" t="str">
            <v>013254254_LM_Catania</v>
          </cell>
          <cell r="D550" t="str">
            <v>M0861</v>
          </cell>
          <cell r="E550" t="str">
            <v>COBERTURA 2026</v>
          </cell>
          <cell r="F550" t="str">
            <v>Macros</v>
          </cell>
          <cell r="G550">
            <v>2026</v>
          </cell>
          <cell r="H550" t="str">
            <v>1 Q</v>
          </cell>
          <cell r="I550" t="str">
            <v>Almendra Vásquez</v>
          </cell>
          <cell r="J550" t="str">
            <v>En saneamiento</v>
          </cell>
          <cell r="K550">
            <v>46035</v>
          </cell>
        </row>
        <row r="551">
          <cell r="B551" t="str">
            <v>MAC_Cobertura2026_72</v>
          </cell>
          <cell r="C551" t="str">
            <v>013210635_IC_LosArrabanes</v>
          </cell>
          <cell r="D551" t="str">
            <v>M0861</v>
          </cell>
          <cell r="E551" t="str">
            <v>COBERTURA 2026</v>
          </cell>
          <cell r="F551" t="str">
            <v>Macros</v>
          </cell>
          <cell r="G551">
            <v>2026</v>
          </cell>
          <cell r="H551" t="str">
            <v>1 Q</v>
          </cell>
          <cell r="I551" t="str">
            <v>Almendra Vásquez</v>
          </cell>
          <cell r="J551" t="str">
            <v>En saneamiento</v>
          </cell>
          <cell r="K551">
            <v>46035</v>
          </cell>
        </row>
        <row r="552">
          <cell r="B552" t="str">
            <v>MAC_Cobertura2026_73</v>
          </cell>
          <cell r="C552" t="str">
            <v>013121302_AN_PraderasDeNuevoChimbote</v>
          </cell>
          <cell r="D552" t="str">
            <v>M0861</v>
          </cell>
          <cell r="E552" t="str">
            <v>COBERTURA 2026</v>
          </cell>
          <cell r="F552" t="str">
            <v>Macros</v>
          </cell>
          <cell r="G552">
            <v>2026</v>
          </cell>
          <cell r="H552" t="str">
            <v>1 Q</v>
          </cell>
          <cell r="I552" t="str">
            <v>Almendra Vásquez</v>
          </cell>
          <cell r="J552" t="str">
            <v>En saneamiento</v>
          </cell>
          <cell r="K552">
            <v>46035</v>
          </cell>
        </row>
        <row r="553">
          <cell r="B553" t="str">
            <v>MAC_Cobertura2026_74</v>
          </cell>
          <cell r="C553" t="str">
            <v>013252981_LM_LaColmenaDeHuaura</v>
          </cell>
          <cell r="D553" t="str">
            <v>M0861</v>
          </cell>
          <cell r="E553" t="str">
            <v>COBERTURA 2026</v>
          </cell>
          <cell r="F553" t="str">
            <v>Macros</v>
          </cell>
          <cell r="G553">
            <v>2026</v>
          </cell>
          <cell r="H553" t="str">
            <v>1 Q</v>
          </cell>
          <cell r="I553" t="str">
            <v>Almendra Vásquez</v>
          </cell>
          <cell r="J553" t="str">
            <v>En saneamiento</v>
          </cell>
          <cell r="K553">
            <v>46035</v>
          </cell>
        </row>
        <row r="554">
          <cell r="B554" t="str">
            <v>MAC_Cobertura2026_75</v>
          </cell>
          <cell r="C554" t="str">
            <v>013254158_LM_BarahonaReyna</v>
          </cell>
          <cell r="D554" t="str">
            <v>M0861</v>
          </cell>
          <cell r="E554" t="str">
            <v>COBERTURA 2026</v>
          </cell>
          <cell r="F554" t="str">
            <v>Macros</v>
          </cell>
          <cell r="G554">
            <v>2026</v>
          </cell>
          <cell r="H554" t="str">
            <v>2Q</v>
          </cell>
          <cell r="I554" t="str">
            <v>Almendra Vásquez</v>
          </cell>
          <cell r="J554" t="str">
            <v>En Busqueda</v>
          </cell>
          <cell r="K554">
            <v>46035</v>
          </cell>
        </row>
        <row r="555">
          <cell r="B555" t="str">
            <v>MAC_Cobertura2026_76</v>
          </cell>
          <cell r="C555" t="str">
            <v>013140281_AQ_PascanaYura</v>
          </cell>
          <cell r="D555" t="str">
            <v>M0861</v>
          </cell>
          <cell r="E555" t="str">
            <v>COBERTURA 2026</v>
          </cell>
          <cell r="F555" t="str">
            <v>Macros</v>
          </cell>
          <cell r="G555">
            <v>2026</v>
          </cell>
          <cell r="H555" t="str">
            <v>2Q</v>
          </cell>
          <cell r="I555" t="str">
            <v>Almendra Vásquez</v>
          </cell>
          <cell r="J555" t="str">
            <v>En Busqueda</v>
          </cell>
          <cell r="K555">
            <v>46035</v>
          </cell>
        </row>
        <row r="556">
          <cell r="B556" t="str">
            <v>MAC_Cobertura2026_77</v>
          </cell>
          <cell r="C556" t="str">
            <v>013210637_IC_LosPecanos</v>
          </cell>
          <cell r="D556" t="str">
            <v>M0861</v>
          </cell>
          <cell r="E556" t="str">
            <v>COBERTURA 2026</v>
          </cell>
          <cell r="F556" t="str">
            <v>Macros</v>
          </cell>
          <cell r="G556">
            <v>2026</v>
          </cell>
          <cell r="H556" t="str">
            <v>1 Q</v>
          </cell>
          <cell r="I556" t="str">
            <v>Almendra Vásquez</v>
          </cell>
          <cell r="J556" t="str">
            <v>En saneamiento</v>
          </cell>
          <cell r="K556">
            <v>46035</v>
          </cell>
        </row>
        <row r="557">
          <cell r="B557" t="str">
            <v>MAC_Cobertura2026_78</v>
          </cell>
          <cell r="C557" t="str">
            <v>013214429_IC_Guayabo</v>
          </cell>
          <cell r="D557" t="str">
            <v>M0861</v>
          </cell>
          <cell r="E557" t="str">
            <v>COBERTURA 2026</v>
          </cell>
          <cell r="F557" t="str">
            <v>Macros</v>
          </cell>
          <cell r="G557">
            <v>2026</v>
          </cell>
          <cell r="H557" t="str">
            <v>1 Q</v>
          </cell>
          <cell r="I557" t="str">
            <v>Almendra Vásquez</v>
          </cell>
          <cell r="J557" t="str">
            <v>En saneamiento</v>
          </cell>
          <cell r="K557">
            <v>46035</v>
          </cell>
        </row>
        <row r="558">
          <cell r="B558" t="str">
            <v>MAC_Cobertura2026_79</v>
          </cell>
          <cell r="C558" t="str">
            <v>013210640_IC_Cantayo</v>
          </cell>
          <cell r="D558" t="str">
            <v>M0861</v>
          </cell>
          <cell r="E558" t="str">
            <v>COBERTURA 2026</v>
          </cell>
          <cell r="F558" t="str">
            <v>Macros</v>
          </cell>
          <cell r="G558">
            <v>2026</v>
          </cell>
          <cell r="H558" t="str">
            <v>2Q</v>
          </cell>
          <cell r="I558" t="str">
            <v>Almendra Vásquez</v>
          </cell>
          <cell r="J558" t="str">
            <v>En Busqueda</v>
          </cell>
          <cell r="K558">
            <v>46035</v>
          </cell>
        </row>
        <row r="559">
          <cell r="B559" t="str">
            <v>MAC_Cobertura2026_80</v>
          </cell>
          <cell r="C559" t="str">
            <v>013331605_TA_PlazaAtmatTacna</v>
          </cell>
          <cell r="D559" t="str">
            <v>M0861</v>
          </cell>
          <cell r="E559" t="str">
            <v>COBERTURA 2026</v>
          </cell>
          <cell r="F559" t="str">
            <v>Macros</v>
          </cell>
          <cell r="G559">
            <v>2026</v>
          </cell>
          <cell r="H559" t="str">
            <v>1 Q</v>
          </cell>
          <cell r="I559" t="str">
            <v>Almendra Vásquez</v>
          </cell>
          <cell r="J559" t="str">
            <v>En saneamiento</v>
          </cell>
          <cell r="K559">
            <v>46035</v>
          </cell>
        </row>
        <row r="560">
          <cell r="B560" t="str">
            <v>MAC_Cobertura2026_81</v>
          </cell>
          <cell r="C560" t="str">
            <v>013264743_LO_Iberia</v>
          </cell>
          <cell r="D560" t="str">
            <v>M0861</v>
          </cell>
          <cell r="E560" t="str">
            <v>COBERTURA 2026</v>
          </cell>
          <cell r="F560" t="str">
            <v>Macros</v>
          </cell>
          <cell r="G560">
            <v>2026</v>
          </cell>
          <cell r="H560" t="str">
            <v>1 Q</v>
          </cell>
          <cell r="I560" t="str">
            <v>Almendra Vásquez</v>
          </cell>
          <cell r="J560" t="str">
            <v>Falta presupuesto</v>
          </cell>
          <cell r="K560">
            <v>46035</v>
          </cell>
        </row>
        <row r="561">
          <cell r="B561" t="str">
            <v>MAC_Cobertura2026_82</v>
          </cell>
          <cell r="C561" t="str">
            <v>013265804_LO_Muniches</v>
          </cell>
          <cell r="D561" t="str">
            <v>M0861</v>
          </cell>
          <cell r="E561" t="str">
            <v>COBERTURA 2026</v>
          </cell>
          <cell r="F561" t="str">
            <v>Macros</v>
          </cell>
          <cell r="G561">
            <v>2026</v>
          </cell>
          <cell r="H561" t="str">
            <v>1 Q</v>
          </cell>
          <cell r="I561" t="str">
            <v>Almendra Vásquez</v>
          </cell>
          <cell r="J561" t="str">
            <v>En saneamiento</v>
          </cell>
          <cell r="K561">
            <v>46035</v>
          </cell>
        </row>
        <row r="562">
          <cell r="B562" t="str">
            <v>MAC_Cobertura2026_83</v>
          </cell>
          <cell r="C562" t="str">
            <v>013205880_LH_RioHuancachupa</v>
          </cell>
          <cell r="D562" t="str">
            <v>M0861</v>
          </cell>
          <cell r="E562" t="str">
            <v>COBERTURA 2026</v>
          </cell>
          <cell r="F562" t="str">
            <v>Macros</v>
          </cell>
          <cell r="G562">
            <v>2026</v>
          </cell>
          <cell r="H562" t="str">
            <v>2Q</v>
          </cell>
          <cell r="I562" t="str">
            <v>Almendra Vásquez</v>
          </cell>
          <cell r="J562" t="str">
            <v>En Construcción</v>
          </cell>
          <cell r="K562">
            <v>46035</v>
          </cell>
        </row>
        <row r="563">
          <cell r="B563" t="str">
            <v>MAC_Cobertura2026_84</v>
          </cell>
          <cell r="C563" t="str">
            <v>013345826_TU_EscuelaDePoliciaTumbes</v>
          </cell>
          <cell r="D563" t="str">
            <v>M0861</v>
          </cell>
          <cell r="E563" t="str">
            <v>COBERTURA 2026</v>
          </cell>
          <cell r="F563" t="str">
            <v>Macros</v>
          </cell>
          <cell r="G563">
            <v>2026</v>
          </cell>
          <cell r="H563" t="str">
            <v>1 Q</v>
          </cell>
          <cell r="I563" t="str">
            <v>Almendra Vásquez</v>
          </cell>
          <cell r="J563" t="str">
            <v>En Gestion AP</v>
          </cell>
          <cell r="K563">
            <v>46035</v>
          </cell>
        </row>
        <row r="564">
          <cell r="B564" t="str">
            <v>MAC_Cobertura2026_85</v>
          </cell>
          <cell r="C564" t="str">
            <v>013264747_LO_IglesiaDelNazareno</v>
          </cell>
          <cell r="D564" t="str">
            <v>M0861</v>
          </cell>
          <cell r="E564" t="str">
            <v>COBERTURA 2026</v>
          </cell>
          <cell r="F564" t="str">
            <v>Macros</v>
          </cell>
          <cell r="G564">
            <v>2026</v>
          </cell>
          <cell r="H564" t="str">
            <v>1 Q</v>
          </cell>
          <cell r="I564" t="str">
            <v>Almendra Vásquez</v>
          </cell>
          <cell r="J564" t="str">
            <v>En Construcción</v>
          </cell>
          <cell r="K564">
            <v>46035</v>
          </cell>
        </row>
        <row r="565">
          <cell r="B565" t="str">
            <v>MAC_Cobertura2026_86</v>
          </cell>
          <cell r="C565" t="str">
            <v>013264748_LO_PlazaMunich</v>
          </cell>
          <cell r="D565" t="str">
            <v>M0861</v>
          </cell>
          <cell r="E565" t="str">
            <v>COBERTURA 2026</v>
          </cell>
          <cell r="F565" t="str">
            <v>Macros</v>
          </cell>
          <cell r="G565">
            <v>2026</v>
          </cell>
          <cell r="H565" t="str">
            <v>1 Q</v>
          </cell>
          <cell r="I565" t="str">
            <v>Almendra Vásquez</v>
          </cell>
          <cell r="J565" t="str">
            <v>En Construcción</v>
          </cell>
          <cell r="K565">
            <v>46035</v>
          </cell>
        </row>
        <row r="566">
          <cell r="B566" t="str">
            <v>MAC_Cobertura2026_87</v>
          </cell>
          <cell r="C566" t="str">
            <v>013185649_CS_LarapaCusco</v>
          </cell>
          <cell r="D566" t="str">
            <v>M0861</v>
          </cell>
          <cell r="E566" t="str">
            <v>COBERTURA 2026</v>
          </cell>
          <cell r="F566" t="str">
            <v>Macros</v>
          </cell>
          <cell r="G566">
            <v>2026</v>
          </cell>
          <cell r="H566" t="str">
            <v>1 Q</v>
          </cell>
          <cell r="I566" t="str">
            <v>Almendra Vásquez</v>
          </cell>
          <cell r="J566" t="str">
            <v>ON AIR</v>
          </cell>
          <cell r="K566">
            <v>46035</v>
          </cell>
        </row>
        <row r="567">
          <cell r="B567" t="str">
            <v>MAC_Cobertura2026_88</v>
          </cell>
          <cell r="C567" t="str">
            <v>013185788_CS_VillaSanSebastian</v>
          </cell>
          <cell r="D567" t="str">
            <v>M0861</v>
          </cell>
          <cell r="E567" t="str">
            <v>COBERTURA 2026</v>
          </cell>
          <cell r="F567" t="str">
            <v>Macros</v>
          </cell>
          <cell r="G567">
            <v>2026</v>
          </cell>
          <cell r="H567" t="str">
            <v>1 Q</v>
          </cell>
          <cell r="I567" t="str">
            <v>Almendra Vásquez</v>
          </cell>
          <cell r="J567" t="str">
            <v>En Construcción</v>
          </cell>
          <cell r="K567">
            <v>46035</v>
          </cell>
        </row>
        <row r="568">
          <cell r="B568" t="str">
            <v>MAC_Cobertura2026_89</v>
          </cell>
          <cell r="C568" t="str">
            <v>013225875_JU_LosTunales</v>
          </cell>
          <cell r="D568" t="str">
            <v>M0861</v>
          </cell>
          <cell r="E568" t="str">
            <v>COBERTURA 2026</v>
          </cell>
          <cell r="F568" t="str">
            <v>Macros</v>
          </cell>
          <cell r="G568">
            <v>2026</v>
          </cell>
          <cell r="H568" t="str">
            <v>2Q</v>
          </cell>
          <cell r="I568" t="str">
            <v>Almendra Vásquez</v>
          </cell>
          <cell r="J568" t="str">
            <v>En Busqueda</v>
          </cell>
          <cell r="K568">
            <v>46035</v>
          </cell>
        </row>
        <row r="569">
          <cell r="B569" t="str">
            <v>MAC_Cobertura2026_90</v>
          </cell>
          <cell r="C569" t="str">
            <v>013252351_LM_PalmaAlta</v>
          </cell>
          <cell r="D569" t="str">
            <v>M0861</v>
          </cell>
          <cell r="E569" t="str">
            <v>COBERTURA 2026</v>
          </cell>
          <cell r="F569" t="str">
            <v>Macros</v>
          </cell>
          <cell r="G569">
            <v>2026</v>
          </cell>
          <cell r="H569" t="str">
            <v>1 Q</v>
          </cell>
          <cell r="I569" t="str">
            <v>Almendra Vásquez</v>
          </cell>
          <cell r="J569" t="str">
            <v>ON AIR PARCIAL</v>
          </cell>
          <cell r="K569">
            <v>46035</v>
          </cell>
        </row>
        <row r="570">
          <cell r="B570" t="str">
            <v>MAC_Cobertura2026_91</v>
          </cell>
          <cell r="C570" t="str">
            <v>013225876_JU_PlazaSausa</v>
          </cell>
          <cell r="D570" t="str">
            <v>M0861</v>
          </cell>
          <cell r="E570" t="str">
            <v>COBERTURA 2026</v>
          </cell>
          <cell r="F570" t="str">
            <v>Macros</v>
          </cell>
          <cell r="G570">
            <v>2026</v>
          </cell>
          <cell r="H570" t="str">
            <v>2Q</v>
          </cell>
          <cell r="I570" t="str">
            <v>Almendra Vásquez</v>
          </cell>
          <cell r="J570" t="str">
            <v>En saneamiento</v>
          </cell>
          <cell r="K570">
            <v>46035</v>
          </cell>
        </row>
        <row r="571">
          <cell r="B571" t="str">
            <v>MAC_Cobertura2026_92</v>
          </cell>
          <cell r="C571" t="str">
            <v>013252358_LM_BujamaBaja</v>
          </cell>
          <cell r="D571" t="str">
            <v>M0861</v>
          </cell>
          <cell r="E571" t="str">
            <v>COBERTURA 2026</v>
          </cell>
          <cell r="F571" t="str">
            <v>Macros</v>
          </cell>
          <cell r="G571">
            <v>2026</v>
          </cell>
          <cell r="H571" t="str">
            <v>1 Q</v>
          </cell>
          <cell r="I571" t="str">
            <v>Almendra Vásquez</v>
          </cell>
          <cell r="J571" t="str">
            <v>En saneamiento</v>
          </cell>
          <cell r="K571">
            <v>46035</v>
          </cell>
        </row>
        <row r="572">
          <cell r="B572" t="str">
            <v>MAC_Cobertura2026_93</v>
          </cell>
          <cell r="C572" t="str">
            <v>013315797_PN_EstadioMunicipalDeAntauta</v>
          </cell>
          <cell r="D572" t="str">
            <v>M0861</v>
          </cell>
          <cell r="E572" t="str">
            <v>COBERTURA 2026</v>
          </cell>
          <cell r="F572" t="str">
            <v>Macros</v>
          </cell>
          <cell r="G572">
            <v>2026</v>
          </cell>
          <cell r="H572" t="str">
            <v>1 Q</v>
          </cell>
          <cell r="I572" t="str">
            <v>Almendra Vásquez</v>
          </cell>
          <cell r="J572" t="str">
            <v>En saneamiento</v>
          </cell>
          <cell r="K572">
            <v>46035</v>
          </cell>
        </row>
        <row r="573">
          <cell r="B573" t="str">
            <v>MAC_Cobertura2026_94</v>
          </cell>
          <cell r="C573" t="str">
            <v>013315817_PN_Ollachea</v>
          </cell>
          <cell r="D573" t="str">
            <v>M0861</v>
          </cell>
          <cell r="E573" t="str">
            <v>COBERTURA 2026</v>
          </cell>
          <cell r="F573" t="str">
            <v>Macros</v>
          </cell>
          <cell r="G573">
            <v>2026</v>
          </cell>
          <cell r="H573" t="str">
            <v>Eliminado</v>
          </cell>
          <cell r="I573" t="str">
            <v>Almendra Vásquez</v>
          </cell>
          <cell r="J573" t="str">
            <v>Eliminado</v>
          </cell>
          <cell r="K573">
            <v>46035</v>
          </cell>
        </row>
        <row r="574">
          <cell r="B574" t="str">
            <v>MAC_Cobertura2026_95</v>
          </cell>
          <cell r="C574" t="str">
            <v>013315819_PN_Ajoyani</v>
          </cell>
          <cell r="D574" t="str">
            <v>M0861</v>
          </cell>
          <cell r="E574" t="str">
            <v>COBERTURA 2026</v>
          </cell>
          <cell r="F574" t="str">
            <v>Macros</v>
          </cell>
          <cell r="G574">
            <v>2026</v>
          </cell>
          <cell r="H574" t="str">
            <v>1 Q</v>
          </cell>
          <cell r="I574" t="str">
            <v>Almendra Vásquez</v>
          </cell>
          <cell r="J574" t="str">
            <v>En Construcción</v>
          </cell>
          <cell r="K574">
            <v>46035</v>
          </cell>
        </row>
        <row r="575">
          <cell r="B575" t="str">
            <v>MAC_Cobertura2026_96</v>
          </cell>
          <cell r="C575" t="str">
            <v>013252360_LM_ElDesierto</v>
          </cell>
          <cell r="D575" t="str">
            <v>M0861</v>
          </cell>
          <cell r="E575" t="str">
            <v>COBERTURA 2026</v>
          </cell>
          <cell r="F575" t="str">
            <v>Macros</v>
          </cell>
          <cell r="G575">
            <v>2026</v>
          </cell>
          <cell r="H575" t="str">
            <v>1 Q</v>
          </cell>
          <cell r="I575" t="str">
            <v>Almendra Vásquez</v>
          </cell>
          <cell r="J575" t="str">
            <v>ON AIR</v>
          </cell>
          <cell r="K575">
            <v>46035</v>
          </cell>
        </row>
        <row r="576">
          <cell r="B576" t="str">
            <v>MAC_Cobertura2026_97</v>
          </cell>
          <cell r="C576" t="str">
            <v>013315821_PN_CerroAlccamerin</v>
          </cell>
          <cell r="D576" t="str">
            <v>M0861</v>
          </cell>
          <cell r="E576" t="str">
            <v>COBERTURA 2026</v>
          </cell>
          <cell r="F576" t="str">
            <v>Macros</v>
          </cell>
          <cell r="G576">
            <v>2026</v>
          </cell>
          <cell r="H576" t="str">
            <v>2Q</v>
          </cell>
          <cell r="I576" t="str">
            <v>Almendra Vásquez</v>
          </cell>
          <cell r="J576" t="str">
            <v>En saneamiento</v>
          </cell>
          <cell r="K576">
            <v>46035</v>
          </cell>
        </row>
        <row r="577">
          <cell r="B577" t="str">
            <v>MAC_Cobertura2026_98</v>
          </cell>
          <cell r="C577" t="str">
            <v>013231304_LI_SanAntonioChillia</v>
          </cell>
          <cell r="D577" t="str">
            <v>M0861</v>
          </cell>
          <cell r="E577" t="str">
            <v>COBERTURA 2026</v>
          </cell>
          <cell r="F577" t="str">
            <v>Macros</v>
          </cell>
          <cell r="G577">
            <v>2026</v>
          </cell>
          <cell r="H577" t="str">
            <v>2Q</v>
          </cell>
          <cell r="I577" t="str">
            <v>Almendra Vásquez</v>
          </cell>
          <cell r="J577" t="str">
            <v>En Busqueda</v>
          </cell>
          <cell r="K577">
            <v>46035</v>
          </cell>
        </row>
        <row r="578">
          <cell r="B578" t="str">
            <v>MAC_Cobertura2026_99</v>
          </cell>
          <cell r="C578" t="str">
            <v>013315822_PN_Osocco</v>
          </cell>
          <cell r="D578" t="str">
            <v>M0861</v>
          </cell>
          <cell r="E578" t="str">
            <v>COBERTURA 2026</v>
          </cell>
          <cell r="F578" t="str">
            <v>Macros</v>
          </cell>
          <cell r="G578">
            <v>2026</v>
          </cell>
          <cell r="H578" t="str">
            <v>2Q</v>
          </cell>
          <cell r="I578" t="str">
            <v>Almendra Vásquez</v>
          </cell>
          <cell r="J578" t="str">
            <v>En saneamiento</v>
          </cell>
          <cell r="K578">
            <v>46035</v>
          </cell>
        </row>
        <row r="579">
          <cell r="B579" t="str">
            <v>MAC_Cobertura2026_100</v>
          </cell>
          <cell r="C579" t="str">
            <v>013185785_CS_TejadaPallpata</v>
          </cell>
          <cell r="D579" t="str">
            <v>M0861</v>
          </cell>
          <cell r="E579" t="str">
            <v>COBERTURA 2026</v>
          </cell>
          <cell r="F579" t="str">
            <v>Macros</v>
          </cell>
          <cell r="G579">
            <v>2026</v>
          </cell>
          <cell r="H579" t="str">
            <v>2Q</v>
          </cell>
          <cell r="I579" t="str">
            <v>Almendra Vásquez</v>
          </cell>
          <cell r="J579" t="str">
            <v>En Construcción</v>
          </cell>
          <cell r="K579">
            <v>46035</v>
          </cell>
        </row>
        <row r="580">
          <cell r="B580" t="str">
            <v>MAC_Cobertura2026_101</v>
          </cell>
          <cell r="C580" t="str">
            <v>013121049_AN_Cajay</v>
          </cell>
          <cell r="D580" t="str">
            <v>M0861</v>
          </cell>
          <cell r="E580" t="str">
            <v>COBERTURA 2026</v>
          </cell>
          <cell r="F580" t="str">
            <v>Macros</v>
          </cell>
          <cell r="G580">
            <v>2026</v>
          </cell>
          <cell r="H580" t="str">
            <v>2Q</v>
          </cell>
          <cell r="I580" t="str">
            <v>Almendra Vásquez</v>
          </cell>
          <cell r="J580" t="str">
            <v>En Busqueda</v>
          </cell>
          <cell r="K580">
            <v>46035</v>
          </cell>
        </row>
        <row r="581">
          <cell r="B581" t="str">
            <v>MAC_Cobertura2026_102</v>
          </cell>
          <cell r="C581" t="str">
            <v>013221710_JU_Chuamba</v>
          </cell>
          <cell r="D581" t="str">
            <v>M0861</v>
          </cell>
          <cell r="E581" t="str">
            <v>COBERTURA 2026</v>
          </cell>
          <cell r="F581" t="str">
            <v>Macros</v>
          </cell>
          <cell r="G581">
            <v>2026</v>
          </cell>
          <cell r="H581" t="str">
            <v>2Q</v>
          </cell>
          <cell r="I581" t="str">
            <v>Almendra Vásquez</v>
          </cell>
          <cell r="J581" t="str">
            <v>En validación</v>
          </cell>
          <cell r="K581">
            <v>46035</v>
          </cell>
        </row>
        <row r="582">
          <cell r="B582" t="str">
            <v>MAC_Cobertura2026_103</v>
          </cell>
          <cell r="C582" t="str">
            <v>013121734_AN_Shilla</v>
          </cell>
          <cell r="D582" t="str">
            <v>M0861</v>
          </cell>
          <cell r="E582" t="str">
            <v>COBERTURA 2026</v>
          </cell>
          <cell r="F582" t="str">
            <v>Macros</v>
          </cell>
          <cell r="G582">
            <v>2026</v>
          </cell>
          <cell r="H582" t="str">
            <v>1 Q</v>
          </cell>
          <cell r="I582" t="str">
            <v>Almendra Vásquez</v>
          </cell>
          <cell r="J582" t="str">
            <v>En saneamiento</v>
          </cell>
          <cell r="K582">
            <v>46035</v>
          </cell>
        </row>
        <row r="583">
          <cell r="B583" t="str">
            <v>MAC_Cobertura2026_104</v>
          </cell>
          <cell r="C583" t="str">
            <v>013250768_LM_Sedigraf</v>
          </cell>
          <cell r="D583" t="str">
            <v>M0861</v>
          </cell>
          <cell r="E583" t="str">
            <v>COBERTURA 2026</v>
          </cell>
          <cell r="F583" t="str">
            <v>Macros</v>
          </cell>
          <cell r="G583">
            <v>2026</v>
          </cell>
          <cell r="H583" t="str">
            <v>1 Q</v>
          </cell>
          <cell r="I583" t="str">
            <v>Almendra Vásquez</v>
          </cell>
          <cell r="J583" t="str">
            <v>En saneamiento</v>
          </cell>
          <cell r="K583">
            <v>46035</v>
          </cell>
        </row>
        <row r="584">
          <cell r="B584" t="str">
            <v>MAC_Cobertura2026_105</v>
          </cell>
          <cell r="C584" t="str">
            <v>013231303_LI_Aricapampa</v>
          </cell>
          <cell r="D584" t="str">
            <v>M0861</v>
          </cell>
          <cell r="E584" t="str">
            <v>COBERTURA 2026</v>
          </cell>
          <cell r="F584" t="str">
            <v>Macros</v>
          </cell>
          <cell r="G584">
            <v>2026</v>
          </cell>
          <cell r="H584" t="str">
            <v>Eliminado</v>
          </cell>
          <cell r="I584" t="str">
            <v>Almendra Vásquez</v>
          </cell>
          <cell r="J584" t="str">
            <v>Eliminado</v>
          </cell>
          <cell r="K584">
            <v>46035</v>
          </cell>
        </row>
        <row r="585">
          <cell r="B585" t="str">
            <v>MAC_Cobertura2026_106</v>
          </cell>
          <cell r="C585" t="str">
            <v>013254598_LM_MercadoDeNana</v>
          </cell>
          <cell r="D585" t="str">
            <v>M0861</v>
          </cell>
          <cell r="E585" t="str">
            <v>COBERTURA 2026</v>
          </cell>
          <cell r="F585" t="str">
            <v>Macros</v>
          </cell>
          <cell r="G585">
            <v>2026</v>
          </cell>
          <cell r="H585" t="str">
            <v>2Q</v>
          </cell>
          <cell r="I585" t="str">
            <v>Almendra Vásquez</v>
          </cell>
          <cell r="J585" t="str">
            <v>En Busqueda</v>
          </cell>
          <cell r="K585">
            <v>46035</v>
          </cell>
        </row>
        <row r="586">
          <cell r="B586" t="str">
            <v>MAC_Cobertura2026_107</v>
          </cell>
          <cell r="C586" t="str">
            <v>013250753_LM_Chacon</v>
          </cell>
          <cell r="D586" t="str">
            <v>M0861</v>
          </cell>
          <cell r="E586" t="str">
            <v>COBERTURA 2026</v>
          </cell>
          <cell r="F586" t="str">
            <v>Macros</v>
          </cell>
          <cell r="G586">
            <v>2026</v>
          </cell>
          <cell r="H586" t="str">
            <v>1 Q</v>
          </cell>
          <cell r="I586" t="str">
            <v>Almendra Vásquez</v>
          </cell>
          <cell r="J586" t="str">
            <v>En Construcción</v>
          </cell>
          <cell r="K586">
            <v>46035</v>
          </cell>
        </row>
        <row r="587">
          <cell r="B587" t="str">
            <v>MAC_Cobertura2026_108</v>
          </cell>
          <cell r="C587" t="str">
            <v>013225877_JU_Antacocha</v>
          </cell>
          <cell r="D587" t="str">
            <v>M0861</v>
          </cell>
          <cell r="E587" t="str">
            <v>COBERTURA 2026</v>
          </cell>
          <cell r="F587" t="str">
            <v>Macros</v>
          </cell>
          <cell r="G587">
            <v>2026</v>
          </cell>
          <cell r="H587" t="str">
            <v>Eliminado</v>
          </cell>
          <cell r="I587" t="str">
            <v>Almendra Vásquez</v>
          </cell>
          <cell r="J587" t="str">
            <v>Eliminado</v>
          </cell>
          <cell r="K587">
            <v>46035</v>
          </cell>
        </row>
        <row r="588">
          <cell r="B588" t="str">
            <v>MAC_Cobertura2026_109</v>
          </cell>
          <cell r="C588" t="str">
            <v>013121309_AN_Quinhuaragra</v>
          </cell>
          <cell r="D588" t="str">
            <v>M0861</v>
          </cell>
          <cell r="E588" t="str">
            <v>COBERTURA 2026</v>
          </cell>
          <cell r="F588" t="str">
            <v>Macros</v>
          </cell>
          <cell r="G588">
            <v>2026</v>
          </cell>
          <cell r="H588" t="str">
            <v>Eliminado</v>
          </cell>
          <cell r="I588" t="str">
            <v>Almendra Vásquez</v>
          </cell>
          <cell r="J588" t="str">
            <v>Eliminado</v>
          </cell>
          <cell r="K588">
            <v>46035</v>
          </cell>
        </row>
        <row r="589">
          <cell r="B589" t="str">
            <v>MAC_Cobertura2026_110</v>
          </cell>
          <cell r="C589" t="str">
            <v>013140285_AQ_Cacapata</v>
          </cell>
          <cell r="D589" t="str">
            <v>M0861</v>
          </cell>
          <cell r="E589" t="str">
            <v>COBERTURA 2026</v>
          </cell>
          <cell r="F589" t="str">
            <v>Macros</v>
          </cell>
          <cell r="G589">
            <v>2026</v>
          </cell>
          <cell r="H589" t="str">
            <v>2Q</v>
          </cell>
          <cell r="I589" t="str">
            <v>Almendra Vásquez</v>
          </cell>
          <cell r="J589" t="str">
            <v>En Busqueda</v>
          </cell>
          <cell r="K589">
            <v>46035</v>
          </cell>
        </row>
        <row r="590">
          <cell r="B590" t="str">
            <v>MAC_Cobertura2026_111</v>
          </cell>
          <cell r="C590" t="str">
            <v>013252359_LM_LaFloridaDeImperial</v>
          </cell>
          <cell r="D590" t="str">
            <v>M0861</v>
          </cell>
          <cell r="E590" t="str">
            <v>COBERTURA 2026</v>
          </cell>
          <cell r="F590" t="str">
            <v>Macros</v>
          </cell>
          <cell r="G590">
            <v>2026</v>
          </cell>
          <cell r="H590" t="str">
            <v>2Q</v>
          </cell>
          <cell r="I590" t="str">
            <v>Almendra Vásquez</v>
          </cell>
          <cell r="J590" t="str">
            <v>En saneamiento</v>
          </cell>
          <cell r="K590">
            <v>46035</v>
          </cell>
        </row>
        <row r="591">
          <cell r="B591" t="str">
            <v>MAC_CoberturaIndoor2026_112</v>
          </cell>
          <cell r="C591" t="str">
            <v>LM_PqCesarVallejo</v>
          </cell>
          <cell r="D591" t="str">
            <v>Sin Cod</v>
          </cell>
          <cell r="E591" t="str">
            <v>COBERTURA INDOOR 2026</v>
          </cell>
          <cell r="F591" t="str">
            <v>Macros</v>
          </cell>
          <cell r="G591">
            <v>2026</v>
          </cell>
          <cell r="H591" t="str">
            <v>2Q</v>
          </cell>
          <cell r="I591" t="str">
            <v>Almendra Vásquez</v>
          </cell>
          <cell r="J591" t="str">
            <v>En Busqueda</v>
          </cell>
          <cell r="K591">
            <v>46035</v>
          </cell>
        </row>
        <row r="592">
          <cell r="B592" t="str">
            <v>MAC_RollOut2026_113</v>
          </cell>
          <cell r="C592" t="str">
            <v>013142994_AQ_PlayaMollendo</v>
          </cell>
          <cell r="D592" t="str">
            <v>M0853</v>
          </cell>
          <cell r="E592" t="str">
            <v>ROLLOUT 2026</v>
          </cell>
          <cell r="F592" t="str">
            <v>Macros</v>
          </cell>
          <cell r="G592">
            <v>2026</v>
          </cell>
          <cell r="H592" t="str">
            <v>2Q</v>
          </cell>
          <cell r="I592" t="str">
            <v>Almendra Vásquez</v>
          </cell>
          <cell r="J592" t="str">
            <v>En validación</v>
          </cell>
          <cell r="K592">
            <v>46035</v>
          </cell>
        </row>
        <row r="593">
          <cell r="B593" t="str">
            <v>MAC_RollOut2026_115</v>
          </cell>
          <cell r="C593" t="str">
            <v>LM_CircuitoPlayas</v>
          </cell>
          <cell r="D593" t="str">
            <v>M0853</v>
          </cell>
          <cell r="E593" t="str">
            <v>ROLLOUT 2026</v>
          </cell>
          <cell r="F593" t="str">
            <v>Macros</v>
          </cell>
          <cell r="G593">
            <v>2026</v>
          </cell>
          <cell r="H593" t="str">
            <v>1 Q</v>
          </cell>
          <cell r="I593" t="str">
            <v>Almendra Vásquez</v>
          </cell>
          <cell r="J593" t="str">
            <v>En saneamiento</v>
          </cell>
          <cell r="K593">
            <v>46035</v>
          </cell>
        </row>
        <row r="594">
          <cell r="B594" t="str">
            <v>MAC_RollOut2026_116</v>
          </cell>
          <cell r="C594" t="str">
            <v>013254239_LM_OutletLurin</v>
          </cell>
          <cell r="D594" t="str">
            <v>M0853</v>
          </cell>
          <cell r="E594" t="str">
            <v>ROLLOUT 2026</v>
          </cell>
          <cell r="F594" t="str">
            <v>Macros</v>
          </cell>
          <cell r="G594">
            <v>2026</v>
          </cell>
          <cell r="H594" t="str">
            <v>1 Q</v>
          </cell>
          <cell r="I594" t="str">
            <v>Almendra Vásquez</v>
          </cell>
          <cell r="J594" t="str">
            <v>En saneamiento</v>
          </cell>
          <cell r="K594">
            <v>46035</v>
          </cell>
        </row>
        <row r="595">
          <cell r="B595" t="str">
            <v>MAC_RollOut2026_117</v>
          </cell>
          <cell r="C595" t="str">
            <v>PI_PlayasColan</v>
          </cell>
          <cell r="D595" t="str">
            <v>M0853</v>
          </cell>
          <cell r="E595" t="str">
            <v>ROLLOUT 2026</v>
          </cell>
          <cell r="F595" t="str">
            <v>Macros</v>
          </cell>
          <cell r="G595">
            <v>2026</v>
          </cell>
          <cell r="H595" t="str">
            <v>Eliminado</v>
          </cell>
          <cell r="I595" t="str">
            <v>Almendra Vásquez</v>
          </cell>
          <cell r="J595" t="str">
            <v>Eliminado</v>
          </cell>
          <cell r="K595">
            <v>46035</v>
          </cell>
        </row>
        <row r="596">
          <cell r="B596" t="str">
            <v>MAC_Cobertura2026_118</v>
          </cell>
          <cell r="C596" t="str">
            <v>013234406_LI_Llacuabamba</v>
          </cell>
          <cell r="D596" t="str">
            <v>M0861</v>
          </cell>
          <cell r="E596" t="str">
            <v>COBERTURA 2026</v>
          </cell>
          <cell r="F596" t="str">
            <v>Macros</v>
          </cell>
          <cell r="G596">
            <v>2026</v>
          </cell>
          <cell r="H596" t="str">
            <v>2Q</v>
          </cell>
          <cell r="I596" t="str">
            <v>Almendra Vásquez</v>
          </cell>
          <cell r="J596" t="str">
            <v>En saneamiento</v>
          </cell>
          <cell r="K596">
            <v>46035</v>
          </cell>
        </row>
        <row r="597">
          <cell r="B597" t="str">
            <v>MAC_Cobertura2026_119</v>
          </cell>
          <cell r="C597" t="str">
            <v>013124262_AN_SanMarcosDeHuari</v>
          </cell>
          <cell r="D597" t="str">
            <v>M0861</v>
          </cell>
          <cell r="E597" t="str">
            <v>COBERTURA 2026</v>
          </cell>
          <cell r="F597" t="str">
            <v>Macros</v>
          </cell>
          <cell r="G597">
            <v>2026</v>
          </cell>
          <cell r="H597" t="str">
            <v>2Q</v>
          </cell>
          <cell r="I597" t="str">
            <v>Almendra Vásquez</v>
          </cell>
          <cell r="J597" t="str">
            <v>En Busqueda</v>
          </cell>
          <cell r="K597">
            <v>46035</v>
          </cell>
        </row>
        <row r="598">
          <cell r="B598" t="str">
            <v>MAC_Cobertura2026_120</v>
          </cell>
          <cell r="C598" t="str">
            <v>013141756_AQ_Iquipi</v>
          </cell>
          <cell r="D598" t="str">
            <v>M0861</v>
          </cell>
          <cell r="E598" t="str">
            <v>COBERTURA 2026</v>
          </cell>
          <cell r="F598" t="str">
            <v>Macros</v>
          </cell>
          <cell r="G598">
            <v>2026</v>
          </cell>
          <cell r="H598" t="str">
            <v>Eliminado</v>
          </cell>
          <cell r="I598" t="str">
            <v>Almendra Vásquez</v>
          </cell>
          <cell r="J598" t="str">
            <v>Eliminado</v>
          </cell>
          <cell r="K598">
            <v>46035</v>
          </cell>
        </row>
        <row r="599">
          <cell r="B599" t="str">
            <v>MAC_Cobertura2026_121</v>
          </cell>
          <cell r="C599" t="str">
            <v>013121624_AN_Carash</v>
          </cell>
          <cell r="D599" t="str">
            <v>M0861</v>
          </cell>
          <cell r="E599" t="str">
            <v>COBERTURA 2026</v>
          </cell>
          <cell r="F599" t="str">
            <v>Macros</v>
          </cell>
          <cell r="G599">
            <v>2026</v>
          </cell>
          <cell r="H599" t="str">
            <v>2Q</v>
          </cell>
          <cell r="I599" t="str">
            <v>Almendra Vásquez</v>
          </cell>
          <cell r="J599" t="str">
            <v>En Busqueda</v>
          </cell>
          <cell r="K599">
            <v>46035</v>
          </cell>
        </row>
        <row r="600">
          <cell r="B600" t="str">
            <v>MAC_Cobertura2026_122</v>
          </cell>
          <cell r="C600" t="str">
            <v>013121045_AN_Atipayan</v>
          </cell>
          <cell r="D600" t="str">
            <v>M0861</v>
          </cell>
          <cell r="E600" t="str">
            <v>COBERTURA 2026</v>
          </cell>
          <cell r="F600" t="str">
            <v>Macros</v>
          </cell>
          <cell r="G600">
            <v>2026</v>
          </cell>
          <cell r="H600" t="str">
            <v>2Q</v>
          </cell>
          <cell r="I600" t="str">
            <v>Almendra Vásquez</v>
          </cell>
          <cell r="J600" t="str">
            <v>En Busqueda</v>
          </cell>
          <cell r="K600">
            <v>46035</v>
          </cell>
        </row>
        <row r="601">
          <cell r="B601" t="str">
            <v>MAC_Cobertura2026_123</v>
          </cell>
          <cell r="C601" t="str">
            <v>013141794_AQ_Cabanaconde</v>
          </cell>
          <cell r="D601" t="str">
            <v>M0861</v>
          </cell>
          <cell r="E601" t="str">
            <v>COBERTURA 2026</v>
          </cell>
          <cell r="F601" t="str">
            <v>Macros</v>
          </cell>
          <cell r="G601">
            <v>2026</v>
          </cell>
          <cell r="H601" t="str">
            <v>1 Q</v>
          </cell>
          <cell r="I601" t="str">
            <v>Almendra Vásquez</v>
          </cell>
          <cell r="J601" t="str">
            <v>En Busqueda</v>
          </cell>
          <cell r="K601">
            <v>46035</v>
          </cell>
        </row>
        <row r="602">
          <cell r="B602" t="str">
            <v>MAC_Cobertura2026_124</v>
          </cell>
          <cell r="C602" t="str">
            <v>013305794_PI_CanalesDeSapillica</v>
          </cell>
          <cell r="D602" t="str">
            <v>M0861</v>
          </cell>
          <cell r="E602" t="str">
            <v>COBERTURA 2026</v>
          </cell>
          <cell r="F602" t="str">
            <v>Macros</v>
          </cell>
          <cell r="G602">
            <v>2026</v>
          </cell>
          <cell r="H602" t="str">
            <v>Eliminado</v>
          </cell>
          <cell r="I602" t="str">
            <v>Almendra Vásquez</v>
          </cell>
          <cell r="J602" t="str">
            <v>Eliminado</v>
          </cell>
          <cell r="K602">
            <v>46035</v>
          </cell>
        </row>
        <row r="603">
          <cell r="B603" t="str">
            <v>MAC_Cobertura2026_125</v>
          </cell>
          <cell r="C603" t="str">
            <v>AN_AmpliacionLosJardines</v>
          </cell>
          <cell r="D603" t="str">
            <v>M0861</v>
          </cell>
          <cell r="E603" t="str">
            <v>COBERTURA 2026</v>
          </cell>
          <cell r="F603" t="str">
            <v>Macros</v>
          </cell>
          <cell r="G603">
            <v>2026</v>
          </cell>
          <cell r="H603" t="str">
            <v>2Q</v>
          </cell>
          <cell r="I603" t="str">
            <v>Almendra Vásquez</v>
          </cell>
          <cell r="J603" t="str">
            <v>En Busqueda</v>
          </cell>
          <cell r="K603">
            <v>46035</v>
          </cell>
        </row>
        <row r="604">
          <cell r="B604" t="str">
            <v>MAC_Cobertura2026_126</v>
          </cell>
          <cell r="C604" t="str">
            <v>AN_Chimbote_01</v>
          </cell>
          <cell r="D604" t="str">
            <v>M0861</v>
          </cell>
          <cell r="E604" t="str">
            <v>COBERTURA 2026</v>
          </cell>
          <cell r="F604" t="str">
            <v>Macros</v>
          </cell>
          <cell r="G604">
            <v>2026</v>
          </cell>
          <cell r="H604" t="str">
            <v>1 Q</v>
          </cell>
          <cell r="I604" t="str">
            <v>Almendra Vásquez</v>
          </cell>
          <cell r="J604" t="str">
            <v>En Busqueda</v>
          </cell>
          <cell r="K604">
            <v>46035</v>
          </cell>
        </row>
        <row r="605">
          <cell r="B605" t="str">
            <v>MAC_Cobertura2026_127</v>
          </cell>
          <cell r="C605" t="str">
            <v>AN_FilipinasPacifico</v>
          </cell>
          <cell r="D605" t="str">
            <v>M0861</v>
          </cell>
          <cell r="E605" t="str">
            <v>COBERTURA 2026</v>
          </cell>
          <cell r="F605" t="str">
            <v>Macros</v>
          </cell>
          <cell r="G605">
            <v>2026</v>
          </cell>
          <cell r="H605" t="str">
            <v>2Q</v>
          </cell>
          <cell r="I605" t="str">
            <v>Almendra Vásquez</v>
          </cell>
          <cell r="J605" t="str">
            <v>En Busqueda</v>
          </cell>
          <cell r="K605">
            <v>46035</v>
          </cell>
        </row>
        <row r="606">
          <cell r="B606" t="str">
            <v>MAC_Cobertura2026_128</v>
          </cell>
          <cell r="C606" t="str">
            <v>AN_MalagaDePrado</v>
          </cell>
          <cell r="D606" t="str">
            <v>M0861</v>
          </cell>
          <cell r="E606" t="str">
            <v>COBERTURA 2026</v>
          </cell>
          <cell r="F606" t="str">
            <v>Macros</v>
          </cell>
          <cell r="G606">
            <v>2026</v>
          </cell>
          <cell r="H606" t="str">
            <v>2Q</v>
          </cell>
          <cell r="I606" t="str">
            <v>Almendra Vásquez</v>
          </cell>
          <cell r="J606" t="str">
            <v>En Busqueda</v>
          </cell>
          <cell r="K606">
            <v>46035</v>
          </cell>
        </row>
        <row r="607">
          <cell r="B607" t="str">
            <v>MAC_Cobertura2026_129</v>
          </cell>
          <cell r="C607" t="str">
            <v>AN_PazConBien</v>
          </cell>
          <cell r="D607" t="str">
            <v>M0861</v>
          </cell>
          <cell r="E607" t="str">
            <v>COBERTURA 2026</v>
          </cell>
          <cell r="F607" t="str">
            <v>Macros</v>
          </cell>
          <cell r="G607">
            <v>2026</v>
          </cell>
          <cell r="H607" t="str">
            <v>2Q</v>
          </cell>
          <cell r="I607" t="str">
            <v>Almendra Vásquez</v>
          </cell>
          <cell r="J607" t="str">
            <v>En Busqueda</v>
          </cell>
          <cell r="K607">
            <v>46035</v>
          </cell>
        </row>
        <row r="608">
          <cell r="B608" t="str">
            <v>MAC_Cobertura2026_130</v>
          </cell>
          <cell r="C608" t="str">
            <v>AP_Abancay_02</v>
          </cell>
          <cell r="D608" t="str">
            <v>M0861</v>
          </cell>
          <cell r="E608" t="str">
            <v>COBERTURA 2026</v>
          </cell>
          <cell r="F608" t="str">
            <v>Macros</v>
          </cell>
          <cell r="G608">
            <v>2026</v>
          </cell>
          <cell r="H608" t="str">
            <v>Eliminado</v>
          </cell>
          <cell r="I608" t="str">
            <v>Almendra Vásquez</v>
          </cell>
          <cell r="J608" t="str">
            <v>Eliminado</v>
          </cell>
          <cell r="K608">
            <v>46035</v>
          </cell>
        </row>
        <row r="609">
          <cell r="B609" t="str">
            <v>MAC_Cobertura2026_131</v>
          </cell>
          <cell r="C609" t="str">
            <v>AP_Andahuaylas_02</v>
          </cell>
          <cell r="D609" t="str">
            <v>M0861</v>
          </cell>
          <cell r="E609" t="str">
            <v>COBERTURA 2026</v>
          </cell>
          <cell r="F609" t="str">
            <v>Macros</v>
          </cell>
          <cell r="G609">
            <v>2026</v>
          </cell>
          <cell r="H609" t="str">
            <v>Eliminado</v>
          </cell>
          <cell r="I609" t="str">
            <v>Almendra Vásquez</v>
          </cell>
          <cell r="J609" t="str">
            <v>Eliminado</v>
          </cell>
          <cell r="K609">
            <v>46035</v>
          </cell>
        </row>
        <row r="610">
          <cell r="B610" t="str">
            <v>MAC_Cobertura2026_132</v>
          </cell>
          <cell r="C610" t="str">
            <v>AQ_CoberturaAdd_01</v>
          </cell>
          <cell r="D610" t="str">
            <v>M0861</v>
          </cell>
          <cell r="E610" t="str">
            <v>COBERTURA 2026</v>
          </cell>
          <cell r="F610" t="str">
            <v>Macros</v>
          </cell>
          <cell r="G610">
            <v>2026</v>
          </cell>
          <cell r="H610" t="str">
            <v>2Q</v>
          </cell>
          <cell r="I610" t="str">
            <v>Almendra Vásquez</v>
          </cell>
          <cell r="J610" t="str">
            <v>En Busqueda</v>
          </cell>
          <cell r="K610">
            <v>46035</v>
          </cell>
        </row>
        <row r="611">
          <cell r="B611" t="str">
            <v>MAC_Cobertura2026_133</v>
          </cell>
          <cell r="C611" t="str">
            <v>AQ_CoberturaAdd_03</v>
          </cell>
          <cell r="D611" t="str">
            <v>M0861</v>
          </cell>
          <cell r="E611" t="str">
            <v>COBERTURA 2026</v>
          </cell>
          <cell r="F611" t="str">
            <v>Macros</v>
          </cell>
          <cell r="G611">
            <v>2026</v>
          </cell>
          <cell r="H611" t="str">
            <v>1 Q</v>
          </cell>
          <cell r="I611" t="str">
            <v>Almendra Vásquez</v>
          </cell>
          <cell r="J611" t="str">
            <v>En Busqueda</v>
          </cell>
          <cell r="K611">
            <v>46035</v>
          </cell>
        </row>
        <row r="612">
          <cell r="B612" t="str">
            <v>MAC_Cobertura2026_134</v>
          </cell>
          <cell r="C612" t="str">
            <v>AQ_CoberturaAdd_04</v>
          </cell>
          <cell r="D612" t="str">
            <v>M0861</v>
          </cell>
          <cell r="E612" t="str">
            <v>COBERTURA 2026</v>
          </cell>
          <cell r="F612" t="str">
            <v>Macros</v>
          </cell>
          <cell r="G612">
            <v>2026</v>
          </cell>
          <cell r="H612" t="str">
            <v>1 Q</v>
          </cell>
          <cell r="I612" t="str">
            <v>Almendra Vásquez</v>
          </cell>
          <cell r="J612" t="str">
            <v>En saneamiento</v>
          </cell>
          <cell r="K612">
            <v>46035</v>
          </cell>
        </row>
        <row r="613">
          <cell r="B613" t="str">
            <v>MAC_Cobertura2026_135</v>
          </cell>
          <cell r="C613" t="str">
            <v>AQ_CoberturaAdd_12</v>
          </cell>
          <cell r="D613" t="str">
            <v>M0861</v>
          </cell>
          <cell r="E613" t="str">
            <v>COBERTURA 2026</v>
          </cell>
          <cell r="F613" t="str">
            <v>Macros</v>
          </cell>
          <cell r="G613">
            <v>2026</v>
          </cell>
          <cell r="H613" t="str">
            <v>2Q</v>
          </cell>
          <cell r="I613" t="str">
            <v>Almendra Vásquez</v>
          </cell>
          <cell r="J613" t="str">
            <v>En Busqueda</v>
          </cell>
          <cell r="K613">
            <v>46035</v>
          </cell>
        </row>
        <row r="614">
          <cell r="B614" t="str">
            <v>MAC_Cobertura2026_136</v>
          </cell>
          <cell r="C614" t="str">
            <v>AQ_CoberturaAdd_13</v>
          </cell>
          <cell r="D614" t="str">
            <v>M0861</v>
          </cell>
          <cell r="E614" t="str">
            <v>COBERTURA 2026</v>
          </cell>
          <cell r="F614" t="str">
            <v>Macros</v>
          </cell>
          <cell r="G614">
            <v>2026</v>
          </cell>
          <cell r="H614" t="str">
            <v>2Q</v>
          </cell>
          <cell r="I614" t="str">
            <v>Almendra Vásquez</v>
          </cell>
          <cell r="J614" t="str">
            <v>En Busqueda</v>
          </cell>
          <cell r="K614">
            <v>46035</v>
          </cell>
        </row>
        <row r="615">
          <cell r="B615" t="str">
            <v>MAC_Cobertura2026_137</v>
          </cell>
          <cell r="C615" t="str">
            <v>AQ_Uchumayo_01</v>
          </cell>
          <cell r="D615" t="str">
            <v>M0861</v>
          </cell>
          <cell r="E615" t="str">
            <v>COBERTURA 2026</v>
          </cell>
          <cell r="F615" t="str">
            <v>Macros</v>
          </cell>
          <cell r="G615">
            <v>2026</v>
          </cell>
          <cell r="H615" t="str">
            <v>Eliminado</v>
          </cell>
          <cell r="I615" t="str">
            <v>Almendra Vásquez</v>
          </cell>
          <cell r="J615" t="str">
            <v>Eliminado</v>
          </cell>
          <cell r="K615">
            <v>46035</v>
          </cell>
        </row>
        <row r="616">
          <cell r="B616" t="str">
            <v>MAC_Cobertura2026_138</v>
          </cell>
          <cell r="C616" t="str">
            <v>AY_Ayacucho_02</v>
          </cell>
          <cell r="D616" t="str">
            <v>M0861</v>
          </cell>
          <cell r="E616" t="str">
            <v>COBERTURA 2026</v>
          </cell>
          <cell r="F616" t="str">
            <v>Macros</v>
          </cell>
          <cell r="G616">
            <v>2026</v>
          </cell>
          <cell r="H616" t="str">
            <v>2Q</v>
          </cell>
          <cell r="I616" t="str">
            <v>Almendra Vásquez</v>
          </cell>
          <cell r="J616" t="str">
            <v>En validación</v>
          </cell>
          <cell r="K616">
            <v>46035</v>
          </cell>
        </row>
        <row r="617">
          <cell r="B617" t="str">
            <v>MAC_Cobertura2026_139</v>
          </cell>
          <cell r="C617" t="str">
            <v>AY_Huanta_03</v>
          </cell>
          <cell r="D617" t="str">
            <v>M0861</v>
          </cell>
          <cell r="E617" t="str">
            <v>COBERTURA 2026</v>
          </cell>
          <cell r="F617" t="str">
            <v>Macros</v>
          </cell>
          <cell r="G617">
            <v>2026</v>
          </cell>
          <cell r="H617" t="str">
            <v>1 Q</v>
          </cell>
          <cell r="I617" t="str">
            <v>Almendra Vásquez</v>
          </cell>
          <cell r="J617" t="str">
            <v>En validación</v>
          </cell>
          <cell r="K617">
            <v>46035</v>
          </cell>
        </row>
        <row r="618">
          <cell r="B618" t="str">
            <v>MAC_Cobertura2026_140</v>
          </cell>
          <cell r="C618" t="str">
            <v>AY_Huanta_04</v>
          </cell>
          <cell r="D618" t="str">
            <v>M0861</v>
          </cell>
          <cell r="E618" t="str">
            <v>COBERTURA 2026</v>
          </cell>
          <cell r="F618" t="str">
            <v>Macros</v>
          </cell>
          <cell r="G618">
            <v>2026</v>
          </cell>
          <cell r="H618" t="str">
            <v>1 Q</v>
          </cell>
          <cell r="I618" t="str">
            <v>Almendra Vásquez</v>
          </cell>
          <cell r="J618" t="str">
            <v>En validación</v>
          </cell>
          <cell r="K618">
            <v>46035</v>
          </cell>
        </row>
        <row r="619">
          <cell r="B619" t="str">
            <v>MAC_Cobertura2026_141</v>
          </cell>
          <cell r="C619" t="str">
            <v>AY_Huanta_05</v>
          </cell>
          <cell r="D619" t="str">
            <v>M0861</v>
          </cell>
          <cell r="E619" t="str">
            <v>COBERTURA 2026</v>
          </cell>
          <cell r="F619" t="str">
            <v>Macros</v>
          </cell>
          <cell r="G619">
            <v>2026</v>
          </cell>
          <cell r="H619" t="str">
            <v>2Q</v>
          </cell>
          <cell r="I619" t="str">
            <v>Almendra Vásquez</v>
          </cell>
          <cell r="J619" t="str">
            <v>En Busqueda</v>
          </cell>
          <cell r="K619">
            <v>46035</v>
          </cell>
        </row>
        <row r="620">
          <cell r="B620" t="str">
            <v>MAC_Cobertura2026_142</v>
          </cell>
          <cell r="C620" t="str">
            <v>AY_Jesus_Nazareno_03</v>
          </cell>
          <cell r="D620" t="str">
            <v>M0861</v>
          </cell>
          <cell r="E620" t="str">
            <v>COBERTURA 2026</v>
          </cell>
          <cell r="F620" t="str">
            <v>Macros</v>
          </cell>
          <cell r="G620">
            <v>2026</v>
          </cell>
          <cell r="H620" t="str">
            <v>2Q</v>
          </cell>
          <cell r="I620" t="str">
            <v>Almendra Vásquez</v>
          </cell>
          <cell r="J620" t="str">
            <v>En Busqueda</v>
          </cell>
          <cell r="K620">
            <v>46035</v>
          </cell>
        </row>
        <row r="621">
          <cell r="B621" t="str">
            <v>MAC_Cobertura2026_143</v>
          </cell>
          <cell r="C621" t="str">
            <v>AY_San_Juan_Bautista_02</v>
          </cell>
          <cell r="D621" t="str">
            <v>M0861</v>
          </cell>
          <cell r="E621" t="str">
            <v>COBERTURA 2026</v>
          </cell>
          <cell r="F621" t="str">
            <v>Macros</v>
          </cell>
          <cell r="G621">
            <v>2026</v>
          </cell>
          <cell r="H621" t="str">
            <v>1 Q</v>
          </cell>
          <cell r="I621" t="str">
            <v>Almendra Vásquez</v>
          </cell>
          <cell r="J621" t="str">
            <v>En validación</v>
          </cell>
          <cell r="K621">
            <v>46035</v>
          </cell>
        </row>
        <row r="622">
          <cell r="B622" t="str">
            <v>MAC_Cobertura2026_144</v>
          </cell>
          <cell r="C622" t="str">
            <v>AZ_Bagua_02</v>
          </cell>
          <cell r="D622" t="str">
            <v>M0861</v>
          </cell>
          <cell r="E622" t="str">
            <v>COBERTURA 2026</v>
          </cell>
          <cell r="F622" t="str">
            <v>Macros</v>
          </cell>
          <cell r="G622">
            <v>2026</v>
          </cell>
          <cell r="H622" t="str">
            <v>1 Q</v>
          </cell>
          <cell r="I622" t="str">
            <v>Almendra Vásquez</v>
          </cell>
          <cell r="J622" t="str">
            <v>En validación</v>
          </cell>
          <cell r="K622">
            <v>46035</v>
          </cell>
        </row>
        <row r="623">
          <cell r="B623" t="str">
            <v>MAC_Cobertura2026_145</v>
          </cell>
          <cell r="C623" t="str">
            <v>AZ_Bagua_03</v>
          </cell>
          <cell r="D623" t="str">
            <v>M0861</v>
          </cell>
          <cell r="E623" t="str">
            <v>COBERTURA 2026</v>
          </cell>
          <cell r="F623" t="str">
            <v>Macros</v>
          </cell>
          <cell r="G623">
            <v>2026</v>
          </cell>
          <cell r="H623" t="str">
            <v>2Q</v>
          </cell>
          <cell r="I623" t="str">
            <v>Almendra Vásquez</v>
          </cell>
          <cell r="J623" t="str">
            <v>En Busqueda</v>
          </cell>
          <cell r="K623">
            <v>46035</v>
          </cell>
        </row>
        <row r="624">
          <cell r="B624" t="str">
            <v>MAC_Cobertura2026_146</v>
          </cell>
          <cell r="C624" t="str">
            <v>AZ_Chachapoyas_01</v>
          </cell>
          <cell r="D624" t="str">
            <v>M0861</v>
          </cell>
          <cell r="E624" t="str">
            <v>COBERTURA 2026</v>
          </cell>
          <cell r="F624" t="str">
            <v>Macros</v>
          </cell>
          <cell r="G624">
            <v>2026</v>
          </cell>
          <cell r="H624" t="str">
            <v>2Q</v>
          </cell>
          <cell r="I624" t="str">
            <v>Almendra Vásquez</v>
          </cell>
          <cell r="J624" t="str">
            <v>En validación</v>
          </cell>
          <cell r="K624">
            <v>46035</v>
          </cell>
        </row>
        <row r="625">
          <cell r="B625" t="str">
            <v>MAC_Cobertura2026_147</v>
          </cell>
          <cell r="C625" t="str">
            <v>AZ_Chachapoyas_03</v>
          </cell>
          <cell r="D625" t="str">
            <v>M0861</v>
          </cell>
          <cell r="E625" t="str">
            <v>COBERTURA 2026</v>
          </cell>
          <cell r="F625" t="str">
            <v>Macros</v>
          </cell>
          <cell r="G625">
            <v>2026</v>
          </cell>
          <cell r="H625" t="str">
            <v>2Q</v>
          </cell>
          <cell r="I625" t="str">
            <v>Almendra Vásquez</v>
          </cell>
          <cell r="J625" t="str">
            <v>En Busqueda</v>
          </cell>
          <cell r="K625">
            <v>46035</v>
          </cell>
        </row>
        <row r="626">
          <cell r="B626" t="str">
            <v>MAC_Cobertura2026_148</v>
          </cell>
          <cell r="C626" t="str">
            <v>CA_Cajabamba_01</v>
          </cell>
          <cell r="D626" t="str">
            <v>M0861</v>
          </cell>
          <cell r="E626" t="str">
            <v>COBERTURA 2026</v>
          </cell>
          <cell r="F626" t="str">
            <v>Macros</v>
          </cell>
          <cell r="G626">
            <v>2026</v>
          </cell>
          <cell r="H626" t="str">
            <v>2Q</v>
          </cell>
          <cell r="I626" t="str">
            <v>Almendra Vásquez</v>
          </cell>
          <cell r="J626" t="str">
            <v>En Busqueda</v>
          </cell>
          <cell r="K626">
            <v>46035</v>
          </cell>
        </row>
        <row r="627">
          <cell r="B627" t="str">
            <v>MAC_Cobertura2026_149</v>
          </cell>
          <cell r="C627" t="str">
            <v>CA_Cajamarca_07</v>
          </cell>
          <cell r="D627" t="str">
            <v>M0861</v>
          </cell>
          <cell r="E627" t="str">
            <v>COBERTURA 2026</v>
          </cell>
          <cell r="F627" t="str">
            <v>Macros</v>
          </cell>
          <cell r="G627">
            <v>2026</v>
          </cell>
          <cell r="H627" t="str">
            <v>2Q</v>
          </cell>
          <cell r="I627" t="str">
            <v>Almendra Vásquez</v>
          </cell>
          <cell r="J627" t="str">
            <v>En Busqueda</v>
          </cell>
          <cell r="K627">
            <v>46035</v>
          </cell>
        </row>
        <row r="628">
          <cell r="B628" t="str">
            <v>MAC_Cobertura2026_150</v>
          </cell>
          <cell r="C628" t="str">
            <v>CA_Cajamarca_10</v>
          </cell>
          <cell r="D628" t="str">
            <v>M0861</v>
          </cell>
          <cell r="E628" t="str">
            <v>COBERTURA 2026</v>
          </cell>
          <cell r="F628" t="str">
            <v>Macros</v>
          </cell>
          <cell r="G628">
            <v>2026</v>
          </cell>
          <cell r="H628" t="str">
            <v>2Q</v>
          </cell>
          <cell r="I628" t="str">
            <v>Almendra Vásquez</v>
          </cell>
          <cell r="J628" t="str">
            <v>En Busqueda</v>
          </cell>
          <cell r="K628">
            <v>46035</v>
          </cell>
        </row>
        <row r="629">
          <cell r="B629" t="str">
            <v>MAC_Cobertura2026_151</v>
          </cell>
          <cell r="C629" t="str">
            <v>CA_CoberturaAdd_01</v>
          </cell>
          <cell r="D629" t="str">
            <v>M0861</v>
          </cell>
          <cell r="E629" t="str">
            <v>COBERTURA 2026</v>
          </cell>
          <cell r="F629" t="str">
            <v>Macros</v>
          </cell>
          <cell r="G629">
            <v>2026</v>
          </cell>
          <cell r="H629" t="str">
            <v>2Q</v>
          </cell>
          <cell r="I629" t="str">
            <v>Almendra Vásquez</v>
          </cell>
          <cell r="J629" t="str">
            <v>En Busqueda</v>
          </cell>
          <cell r="K629">
            <v>46035</v>
          </cell>
        </row>
        <row r="630">
          <cell r="B630" t="str">
            <v>MAC_Cobertura2026_152</v>
          </cell>
          <cell r="C630" t="str">
            <v>CA_CoberturaAdd_02</v>
          </cell>
          <cell r="D630" t="str">
            <v>M0861</v>
          </cell>
          <cell r="E630" t="str">
            <v>COBERTURA 2026</v>
          </cell>
          <cell r="F630" t="str">
            <v>Macros</v>
          </cell>
          <cell r="G630">
            <v>2026</v>
          </cell>
          <cell r="H630" t="str">
            <v>2Q</v>
          </cell>
          <cell r="I630" t="str">
            <v>Almendra Vásquez</v>
          </cell>
          <cell r="J630" t="str">
            <v>En Busqueda</v>
          </cell>
          <cell r="K630">
            <v>46035</v>
          </cell>
        </row>
        <row r="631">
          <cell r="B631" t="str">
            <v>MAC_Cobertura2026_153</v>
          </cell>
          <cell r="C631" t="str">
            <v>CA_CoberturaAdd_03</v>
          </cell>
          <cell r="D631" t="str">
            <v>M0861</v>
          </cell>
          <cell r="E631" t="str">
            <v>COBERTURA 2026</v>
          </cell>
          <cell r="F631" t="str">
            <v>Macros</v>
          </cell>
          <cell r="G631">
            <v>2026</v>
          </cell>
          <cell r="H631" t="str">
            <v>2Q</v>
          </cell>
          <cell r="I631" t="str">
            <v>Almendra Vásquez</v>
          </cell>
          <cell r="J631" t="str">
            <v>En Busqueda</v>
          </cell>
          <cell r="K631">
            <v>46035</v>
          </cell>
        </row>
        <row r="632">
          <cell r="B632" t="str">
            <v>MAC_Cobertura2026_154</v>
          </cell>
          <cell r="C632" t="str">
            <v>CA_CoberturaAdd_06</v>
          </cell>
          <cell r="D632" t="str">
            <v>M0861</v>
          </cell>
          <cell r="E632" t="str">
            <v>COBERTURA 2026</v>
          </cell>
          <cell r="F632" t="str">
            <v>Macros</v>
          </cell>
          <cell r="G632">
            <v>2026</v>
          </cell>
          <cell r="H632" t="str">
            <v>2Q</v>
          </cell>
          <cell r="I632" t="str">
            <v>Almendra Vásquez</v>
          </cell>
          <cell r="J632" t="str">
            <v>En Busqueda</v>
          </cell>
          <cell r="K632">
            <v>46035</v>
          </cell>
        </row>
        <row r="633">
          <cell r="B633" t="str">
            <v>MAC_Cobertura2026_155</v>
          </cell>
          <cell r="C633" t="str">
            <v>CA_Cutervo_02</v>
          </cell>
          <cell r="D633" t="str">
            <v>M0861</v>
          </cell>
          <cell r="E633" t="str">
            <v>COBERTURA 2026</v>
          </cell>
          <cell r="F633" t="str">
            <v>Macros</v>
          </cell>
          <cell r="G633">
            <v>2026</v>
          </cell>
          <cell r="H633" t="str">
            <v>1 Q</v>
          </cell>
          <cell r="I633" t="str">
            <v>Almendra Vásquez</v>
          </cell>
          <cell r="J633" t="str">
            <v>En validación</v>
          </cell>
          <cell r="K633">
            <v>46035</v>
          </cell>
        </row>
        <row r="634">
          <cell r="B634" t="str">
            <v>MAC_Cobertura2026_156</v>
          </cell>
          <cell r="C634" t="str">
            <v>ChalaSur</v>
          </cell>
          <cell r="D634" t="str">
            <v>M0861</v>
          </cell>
          <cell r="E634" t="str">
            <v>COBERTURA 2026</v>
          </cell>
          <cell r="F634" t="str">
            <v>Macros</v>
          </cell>
          <cell r="G634">
            <v>2026</v>
          </cell>
          <cell r="H634" t="str">
            <v>2Q</v>
          </cell>
          <cell r="I634" t="str">
            <v>Almendra Vásquez</v>
          </cell>
          <cell r="J634" t="str">
            <v>En validación</v>
          </cell>
          <cell r="K634">
            <v>46035</v>
          </cell>
        </row>
        <row r="635">
          <cell r="B635" t="str">
            <v>MAC_Cobertura2026_157</v>
          </cell>
          <cell r="C635" t="str">
            <v>CP_Yanacancha_04</v>
          </cell>
          <cell r="D635" t="str">
            <v>M0861</v>
          </cell>
          <cell r="E635" t="str">
            <v>COBERTURA 2026</v>
          </cell>
          <cell r="F635" t="str">
            <v>Macros</v>
          </cell>
          <cell r="G635">
            <v>2026</v>
          </cell>
          <cell r="H635" t="str">
            <v>Eliminado</v>
          </cell>
          <cell r="I635" t="str">
            <v>Almendra Vásquez</v>
          </cell>
          <cell r="J635" t="str">
            <v>Eliminado</v>
          </cell>
          <cell r="K635">
            <v>46035</v>
          </cell>
        </row>
        <row r="636">
          <cell r="B636" t="str">
            <v>MAC_Cobertura2026_158</v>
          </cell>
          <cell r="C636" t="str">
            <v>CS_Chamaca_01</v>
          </cell>
          <cell r="D636" t="str">
            <v>M0861</v>
          </cell>
          <cell r="E636" t="str">
            <v>COBERTURA 2026</v>
          </cell>
          <cell r="F636" t="str">
            <v>Macros</v>
          </cell>
          <cell r="G636">
            <v>2026</v>
          </cell>
          <cell r="H636" t="str">
            <v>2Q</v>
          </cell>
          <cell r="I636" t="str">
            <v>Almendra Vásquez</v>
          </cell>
          <cell r="J636" t="str">
            <v>En Busqueda</v>
          </cell>
          <cell r="K636">
            <v>46035</v>
          </cell>
        </row>
        <row r="637">
          <cell r="B637" t="str">
            <v>MAC_Cobertura2026_159</v>
          </cell>
          <cell r="C637" t="str">
            <v>CS_CoberturaAdd_01</v>
          </cell>
          <cell r="D637" t="str">
            <v>M0861</v>
          </cell>
          <cell r="E637" t="str">
            <v>COBERTURA 2026</v>
          </cell>
          <cell r="F637" t="str">
            <v>Macros</v>
          </cell>
          <cell r="G637">
            <v>2026</v>
          </cell>
          <cell r="H637" t="str">
            <v>2Q</v>
          </cell>
          <cell r="I637" t="str">
            <v>Almendra Vásquez</v>
          </cell>
          <cell r="J637" t="str">
            <v>En Busqueda</v>
          </cell>
          <cell r="K637">
            <v>46035</v>
          </cell>
        </row>
        <row r="638">
          <cell r="B638" t="str">
            <v>MAC_Cobertura2026_160</v>
          </cell>
          <cell r="C638" t="str">
            <v>CS_CoberturaAdd_02</v>
          </cell>
          <cell r="D638" t="str">
            <v>M0861</v>
          </cell>
          <cell r="E638" t="str">
            <v>COBERTURA 2026</v>
          </cell>
          <cell r="F638" t="str">
            <v>Macros</v>
          </cell>
          <cell r="G638">
            <v>2026</v>
          </cell>
          <cell r="H638" t="str">
            <v>2Q</v>
          </cell>
          <cell r="I638" t="str">
            <v>Almendra Vásquez</v>
          </cell>
          <cell r="J638" t="str">
            <v>En Busqueda</v>
          </cell>
          <cell r="K638">
            <v>46035</v>
          </cell>
        </row>
        <row r="639">
          <cell r="B639" t="str">
            <v>MAC_Cobertura2026_161</v>
          </cell>
          <cell r="C639" t="str">
            <v>CS_CoberturaAdd_03</v>
          </cell>
          <cell r="D639" t="str">
            <v>M0861</v>
          </cell>
          <cell r="E639" t="str">
            <v>COBERTURA 2026</v>
          </cell>
          <cell r="F639" t="str">
            <v>Macros</v>
          </cell>
          <cell r="G639">
            <v>2026</v>
          </cell>
          <cell r="H639" t="str">
            <v>2Q</v>
          </cell>
          <cell r="I639" t="str">
            <v>Almendra Vásquez</v>
          </cell>
          <cell r="J639" t="str">
            <v>En Busqueda</v>
          </cell>
          <cell r="K639">
            <v>46035</v>
          </cell>
        </row>
        <row r="640">
          <cell r="B640" t="str">
            <v>MAC_Cobertura2026_162</v>
          </cell>
          <cell r="C640" t="str">
            <v>CS_CoberturaAdd_04</v>
          </cell>
          <cell r="D640" t="str">
            <v>M0861</v>
          </cell>
          <cell r="E640" t="str">
            <v>COBERTURA 2026</v>
          </cell>
          <cell r="F640" t="str">
            <v>Macros</v>
          </cell>
          <cell r="G640">
            <v>2026</v>
          </cell>
          <cell r="H640" t="str">
            <v>2Q</v>
          </cell>
          <cell r="I640" t="str">
            <v>Almendra Vásquez</v>
          </cell>
          <cell r="J640" t="str">
            <v>En Busqueda</v>
          </cell>
          <cell r="K640">
            <v>46035</v>
          </cell>
        </row>
        <row r="641">
          <cell r="B641" t="str">
            <v>MAC_Cobertura2026_163</v>
          </cell>
          <cell r="C641" t="str">
            <v>CS_CoberturaAdd_05</v>
          </cell>
          <cell r="D641" t="str">
            <v>M0861</v>
          </cell>
          <cell r="E641" t="str">
            <v>COBERTURA 2026</v>
          </cell>
          <cell r="F641" t="str">
            <v>Macros</v>
          </cell>
          <cell r="G641">
            <v>2026</v>
          </cell>
          <cell r="H641" t="str">
            <v>2Q</v>
          </cell>
          <cell r="I641" t="str">
            <v>Almendra Vásquez</v>
          </cell>
          <cell r="J641" t="str">
            <v>En Busqueda</v>
          </cell>
          <cell r="K641">
            <v>46035</v>
          </cell>
        </row>
        <row r="642">
          <cell r="B642" t="str">
            <v>MAC_Cobertura2026_164</v>
          </cell>
          <cell r="C642" t="str">
            <v>CS_CoberturaAdd_06</v>
          </cell>
          <cell r="D642" t="str">
            <v>M0861</v>
          </cell>
          <cell r="E642" t="str">
            <v>COBERTURA 2026</v>
          </cell>
          <cell r="F642" t="str">
            <v>Macros</v>
          </cell>
          <cell r="G642">
            <v>2026</v>
          </cell>
          <cell r="H642" t="str">
            <v>2Q</v>
          </cell>
          <cell r="I642" t="str">
            <v>Almendra Vásquez</v>
          </cell>
          <cell r="J642" t="str">
            <v>En Busqueda</v>
          </cell>
          <cell r="K642">
            <v>46035</v>
          </cell>
        </row>
        <row r="643">
          <cell r="B643" t="str">
            <v>MAC_Cobertura2026_165</v>
          </cell>
          <cell r="C643" t="str">
            <v>CS_San_Jeronimo_01</v>
          </cell>
          <cell r="D643" t="str">
            <v>M0861</v>
          </cell>
          <cell r="E643" t="str">
            <v>COBERTURA 2026</v>
          </cell>
          <cell r="F643" t="str">
            <v>Macros</v>
          </cell>
          <cell r="G643">
            <v>2026</v>
          </cell>
          <cell r="H643" t="str">
            <v>1 Q</v>
          </cell>
          <cell r="I643" t="str">
            <v>Almendra Vásquez</v>
          </cell>
          <cell r="J643" t="str">
            <v>En Busqueda</v>
          </cell>
          <cell r="K643">
            <v>46035</v>
          </cell>
        </row>
        <row r="644">
          <cell r="B644" t="str">
            <v>MAC_Cobertura2026_166</v>
          </cell>
          <cell r="C644" t="str">
            <v>CS_San_Sebastian_01</v>
          </cell>
          <cell r="D644" t="str">
            <v>M0861</v>
          </cell>
          <cell r="E644" t="str">
            <v>COBERTURA 2026</v>
          </cell>
          <cell r="F644" t="str">
            <v>Macros</v>
          </cell>
          <cell r="G644">
            <v>2026</v>
          </cell>
          <cell r="H644" t="str">
            <v>2Q</v>
          </cell>
          <cell r="I644" t="str">
            <v>Almendra Vásquez</v>
          </cell>
          <cell r="J644" t="str">
            <v>En Busqueda</v>
          </cell>
          <cell r="K644">
            <v>46035</v>
          </cell>
        </row>
        <row r="645">
          <cell r="B645" t="str">
            <v>MAC_Cobertura2026_167</v>
          </cell>
          <cell r="C645" t="str">
            <v>CS_San_Sebastian_07</v>
          </cell>
          <cell r="D645" t="str">
            <v>M0861</v>
          </cell>
          <cell r="E645" t="str">
            <v>COBERTURA 2026</v>
          </cell>
          <cell r="F645" t="str">
            <v>Macros</v>
          </cell>
          <cell r="G645">
            <v>2026</v>
          </cell>
          <cell r="H645" t="str">
            <v>2Q</v>
          </cell>
          <cell r="I645" t="str">
            <v>Almendra Vásquez</v>
          </cell>
          <cell r="J645" t="str">
            <v>En Busqueda</v>
          </cell>
          <cell r="K645">
            <v>46035</v>
          </cell>
        </row>
        <row r="646">
          <cell r="B646" t="str">
            <v>MAC_Cobertura2026_168</v>
          </cell>
          <cell r="C646" t="str">
            <v>CS_San_Sebastian_09</v>
          </cell>
          <cell r="D646" t="str">
            <v>M0861</v>
          </cell>
          <cell r="E646" t="str">
            <v>COBERTURA 2026</v>
          </cell>
          <cell r="F646" t="str">
            <v>Macros</v>
          </cell>
          <cell r="G646">
            <v>2026</v>
          </cell>
          <cell r="H646" t="str">
            <v>1 Q</v>
          </cell>
          <cell r="I646" t="str">
            <v>Almendra Vásquez</v>
          </cell>
          <cell r="J646" t="str">
            <v>En Busqueda</v>
          </cell>
          <cell r="K646">
            <v>46035</v>
          </cell>
        </row>
        <row r="647">
          <cell r="B647" t="str">
            <v>MAC_Cobertura2026_169</v>
          </cell>
          <cell r="C647" t="str">
            <v>CerroVerdeCongata</v>
          </cell>
          <cell r="D647" t="str">
            <v>M0861</v>
          </cell>
          <cell r="E647" t="str">
            <v>COBERTURA 2026</v>
          </cell>
          <cell r="F647" t="str">
            <v>Macros</v>
          </cell>
          <cell r="G647">
            <v>2026</v>
          </cell>
          <cell r="H647" t="str">
            <v>2Q</v>
          </cell>
          <cell r="I647" t="str">
            <v>Almendra Vásquez</v>
          </cell>
          <cell r="J647" t="str">
            <v>En Busqueda</v>
          </cell>
          <cell r="K647">
            <v>46035</v>
          </cell>
        </row>
        <row r="648">
          <cell r="B648" t="str">
            <v>MAC_Cobertura2026_170</v>
          </cell>
          <cell r="C648" t="str">
            <v>CS_Santiago_01</v>
          </cell>
          <cell r="D648" t="str">
            <v>M0861</v>
          </cell>
          <cell r="E648" t="str">
            <v>COBERTURA 2026</v>
          </cell>
          <cell r="F648" t="str">
            <v>Macros</v>
          </cell>
          <cell r="G648">
            <v>2026</v>
          </cell>
          <cell r="H648" t="str">
            <v>2Q</v>
          </cell>
          <cell r="I648" t="str">
            <v>Almendra Vásquez</v>
          </cell>
          <cell r="J648" t="str">
            <v>En Busqueda</v>
          </cell>
          <cell r="K648">
            <v>46035</v>
          </cell>
        </row>
        <row r="649">
          <cell r="B649" t="str">
            <v>MAC_Cobertura2026_171</v>
          </cell>
          <cell r="C649" t="str">
            <v>CS_Santiago_06</v>
          </cell>
          <cell r="D649" t="str">
            <v>M0861</v>
          </cell>
          <cell r="E649" t="str">
            <v>COBERTURA 2026</v>
          </cell>
          <cell r="F649" t="str">
            <v>Macros</v>
          </cell>
          <cell r="G649">
            <v>2026</v>
          </cell>
          <cell r="H649" t="str">
            <v>2Q</v>
          </cell>
          <cell r="I649" t="str">
            <v>Almendra Vásquez</v>
          </cell>
          <cell r="J649" t="str">
            <v>En Busqueda</v>
          </cell>
          <cell r="K649">
            <v>46035</v>
          </cell>
        </row>
        <row r="650">
          <cell r="B650" t="str">
            <v>MAC_Cobertura2026_172</v>
          </cell>
          <cell r="C650" t="str">
            <v>CS_Sicuani_02</v>
          </cell>
          <cell r="D650" t="str">
            <v>M0861</v>
          </cell>
          <cell r="E650" t="str">
            <v>COBERTURA 2026</v>
          </cell>
          <cell r="F650" t="str">
            <v>Macros</v>
          </cell>
          <cell r="G650">
            <v>2026</v>
          </cell>
          <cell r="H650" t="str">
            <v>1 Q</v>
          </cell>
          <cell r="I650" t="str">
            <v>Almendra Vásquez</v>
          </cell>
          <cell r="J650" t="str">
            <v>En validación</v>
          </cell>
          <cell r="K650">
            <v>46035</v>
          </cell>
        </row>
        <row r="651">
          <cell r="B651" t="str">
            <v>MAC_Cobertura2026_173</v>
          </cell>
          <cell r="C651" t="str">
            <v>ElCruceOeste</v>
          </cell>
          <cell r="D651" t="str">
            <v>M0861</v>
          </cell>
          <cell r="E651" t="str">
            <v>COBERTURA 2026</v>
          </cell>
          <cell r="F651" t="str">
            <v>Macros</v>
          </cell>
          <cell r="G651">
            <v>2026</v>
          </cell>
          <cell r="H651" t="str">
            <v>1 Q</v>
          </cell>
          <cell r="I651" t="str">
            <v>Almendra Vásquez</v>
          </cell>
          <cell r="J651" t="str">
            <v>En Busqueda</v>
          </cell>
          <cell r="K651">
            <v>46035</v>
          </cell>
        </row>
        <row r="652">
          <cell r="B652" t="str">
            <v>MAC_Cobertura2026_174</v>
          </cell>
          <cell r="C652" t="str">
            <v>HU_CiudadUniversitaria</v>
          </cell>
          <cell r="D652" t="str">
            <v>M0861</v>
          </cell>
          <cell r="E652" t="str">
            <v>COBERTURA 2026</v>
          </cell>
          <cell r="F652" t="str">
            <v>Macros</v>
          </cell>
          <cell r="G652">
            <v>2026</v>
          </cell>
          <cell r="H652" t="str">
            <v>Eliminado</v>
          </cell>
          <cell r="I652" t="str">
            <v>Almendra Vásquez</v>
          </cell>
          <cell r="J652" t="str">
            <v>Eliminado</v>
          </cell>
          <cell r="K652">
            <v>46035</v>
          </cell>
        </row>
        <row r="653">
          <cell r="B653" t="str">
            <v>MAC_Cobertura2026_175</v>
          </cell>
          <cell r="C653" t="str">
            <v>HU_EstadioAscension</v>
          </cell>
          <cell r="D653" t="str">
            <v>M0861</v>
          </cell>
          <cell r="E653" t="str">
            <v>COBERTURA 2026</v>
          </cell>
          <cell r="F653" t="str">
            <v>Macros</v>
          </cell>
          <cell r="G653">
            <v>2026</v>
          </cell>
          <cell r="H653" t="str">
            <v>Eliminado</v>
          </cell>
          <cell r="I653" t="str">
            <v>Almendra Vásquez</v>
          </cell>
          <cell r="J653" t="str">
            <v>Eliminado</v>
          </cell>
          <cell r="K653">
            <v>46035</v>
          </cell>
        </row>
        <row r="654">
          <cell r="B654" t="str">
            <v>MAC_Cobertura2026_176</v>
          </cell>
          <cell r="C654" t="str">
            <v>IC_VISTA_ALEGRE_02</v>
          </cell>
          <cell r="D654" t="str">
            <v>M0861</v>
          </cell>
          <cell r="E654" t="str">
            <v>COBERTURA 2026</v>
          </cell>
          <cell r="F654" t="str">
            <v>Macros</v>
          </cell>
          <cell r="G654">
            <v>2026</v>
          </cell>
          <cell r="H654" t="str">
            <v>2Q</v>
          </cell>
          <cell r="I654" t="str">
            <v>Almendra Vásquez</v>
          </cell>
          <cell r="J654" t="str">
            <v>En Busqueda</v>
          </cell>
          <cell r="K654">
            <v>46035</v>
          </cell>
        </row>
        <row r="655">
          <cell r="B655" t="str">
            <v>MAC_Cobertura2026_177</v>
          </cell>
          <cell r="C655" t="str">
            <v>JrJuanBautista</v>
          </cell>
          <cell r="D655" t="str">
            <v>M0861</v>
          </cell>
          <cell r="E655" t="str">
            <v>COBERTURA 2026</v>
          </cell>
          <cell r="F655" t="str">
            <v>Macros</v>
          </cell>
          <cell r="G655">
            <v>2026</v>
          </cell>
          <cell r="H655" t="str">
            <v>1 Q</v>
          </cell>
          <cell r="I655" t="str">
            <v>Almendra Vásquez</v>
          </cell>
          <cell r="J655" t="str">
            <v>En validación</v>
          </cell>
          <cell r="K655">
            <v>46035</v>
          </cell>
        </row>
        <row r="656">
          <cell r="B656" t="str">
            <v>MAC_Cobertura2026_178</v>
          </cell>
          <cell r="C656" t="str">
            <v>JU_CoberturaAdd_02</v>
          </cell>
          <cell r="D656" t="str">
            <v>M0861</v>
          </cell>
          <cell r="E656" t="str">
            <v>COBERTURA 2026</v>
          </cell>
          <cell r="F656" t="str">
            <v>Macros</v>
          </cell>
          <cell r="G656">
            <v>2026</v>
          </cell>
          <cell r="H656" t="str">
            <v>2Q</v>
          </cell>
          <cell r="I656" t="str">
            <v>Almendra Vásquez</v>
          </cell>
          <cell r="J656" t="str">
            <v>En Busqueda</v>
          </cell>
          <cell r="K656">
            <v>46035</v>
          </cell>
        </row>
        <row r="657">
          <cell r="B657" t="str">
            <v>MAC_Cobertura2026_179</v>
          </cell>
          <cell r="C657" t="str">
            <v>JU_CoberturaAdd_03</v>
          </cell>
          <cell r="D657" t="str">
            <v>M0861</v>
          </cell>
          <cell r="E657" t="str">
            <v>COBERTURA 2026</v>
          </cell>
          <cell r="F657" t="str">
            <v>Macros</v>
          </cell>
          <cell r="G657">
            <v>2026</v>
          </cell>
          <cell r="H657" t="str">
            <v>2Q</v>
          </cell>
          <cell r="I657" t="str">
            <v>Almendra Vásquez</v>
          </cell>
          <cell r="J657" t="str">
            <v>En Busqueda</v>
          </cell>
          <cell r="K657">
            <v>46035</v>
          </cell>
        </row>
        <row r="658">
          <cell r="B658" t="str">
            <v>MAC_Cobertura2026_180</v>
          </cell>
          <cell r="C658" t="str">
            <v>JU_CoberturaAdd_04</v>
          </cell>
          <cell r="D658" t="str">
            <v>M0861</v>
          </cell>
          <cell r="E658" t="str">
            <v>COBERTURA 2026</v>
          </cell>
          <cell r="F658" t="str">
            <v>Macros</v>
          </cell>
          <cell r="G658">
            <v>2026</v>
          </cell>
          <cell r="H658" t="str">
            <v>2Q</v>
          </cell>
          <cell r="I658" t="str">
            <v>Almendra Vásquez</v>
          </cell>
          <cell r="J658" t="str">
            <v>En Busqueda</v>
          </cell>
          <cell r="K658">
            <v>46035</v>
          </cell>
        </row>
        <row r="659">
          <cell r="B659" t="str">
            <v>MAC_Cobertura2026_181</v>
          </cell>
          <cell r="C659" t="str">
            <v>JU_CoberturaAdd_08</v>
          </cell>
          <cell r="D659" t="str">
            <v>M0861</v>
          </cell>
          <cell r="E659" t="str">
            <v>COBERTURA 2026</v>
          </cell>
          <cell r="F659" t="str">
            <v>Macros</v>
          </cell>
          <cell r="G659">
            <v>2026</v>
          </cell>
          <cell r="H659" t="str">
            <v>2Q</v>
          </cell>
          <cell r="I659" t="str">
            <v>Almendra Vásquez</v>
          </cell>
          <cell r="J659" t="str">
            <v>En Busqueda</v>
          </cell>
          <cell r="K659">
            <v>46035</v>
          </cell>
        </row>
        <row r="660">
          <cell r="B660" t="str">
            <v>MAC_Cobertura2026_182</v>
          </cell>
          <cell r="C660" t="str">
            <v>JU_TaytaNino</v>
          </cell>
          <cell r="D660" t="str">
            <v>M0861</v>
          </cell>
          <cell r="E660" t="str">
            <v>COBERTURA 2026</v>
          </cell>
          <cell r="F660" t="str">
            <v>Macros</v>
          </cell>
          <cell r="G660">
            <v>2026</v>
          </cell>
          <cell r="H660" t="str">
            <v>2Q</v>
          </cell>
          <cell r="I660" t="str">
            <v>Almendra Vásquez</v>
          </cell>
          <cell r="J660" t="str">
            <v>En Busqueda</v>
          </cell>
          <cell r="K660">
            <v>46035</v>
          </cell>
        </row>
        <row r="661">
          <cell r="B661" t="str">
            <v>MAC_Cobertura2026_183</v>
          </cell>
          <cell r="C661" t="str">
            <v>LaPuntaCamana</v>
          </cell>
          <cell r="D661" t="str">
            <v>M0861</v>
          </cell>
          <cell r="E661" t="str">
            <v>COBERTURA 2026</v>
          </cell>
          <cell r="F661" t="str">
            <v>Macros</v>
          </cell>
          <cell r="G661">
            <v>2026</v>
          </cell>
          <cell r="H661" t="str">
            <v>2Q</v>
          </cell>
          <cell r="I661" t="str">
            <v>Almendra Vásquez</v>
          </cell>
          <cell r="J661" t="str">
            <v>En Busqueda</v>
          </cell>
          <cell r="K661">
            <v>46035</v>
          </cell>
        </row>
        <row r="662">
          <cell r="B662" t="str">
            <v>MAC_Cobertura2026_184</v>
          </cell>
          <cell r="C662" t="str">
            <v>LaReparticion</v>
          </cell>
          <cell r="D662" t="str">
            <v>M0861</v>
          </cell>
          <cell r="E662" t="str">
            <v>COBERTURA 2026</v>
          </cell>
          <cell r="F662" t="str">
            <v>Macros</v>
          </cell>
          <cell r="G662">
            <v>2026</v>
          </cell>
          <cell r="H662" t="str">
            <v>1 Q</v>
          </cell>
          <cell r="I662" t="str">
            <v>Almendra Vásquez</v>
          </cell>
          <cell r="J662" t="str">
            <v>En validación</v>
          </cell>
          <cell r="K662">
            <v>46035</v>
          </cell>
        </row>
        <row r="663">
          <cell r="B663" t="str">
            <v>MAC_Cobertura2026_185</v>
          </cell>
          <cell r="C663" t="str">
            <v>LH_Rupa_Rupa_04</v>
          </cell>
          <cell r="D663" t="str">
            <v>M0861</v>
          </cell>
          <cell r="E663" t="str">
            <v>COBERTURA 2026</v>
          </cell>
          <cell r="F663" t="str">
            <v>Macros</v>
          </cell>
          <cell r="G663">
            <v>2026</v>
          </cell>
          <cell r="H663" t="str">
            <v>2Q</v>
          </cell>
          <cell r="I663" t="str">
            <v>Almendra Vásquez</v>
          </cell>
          <cell r="J663" t="str">
            <v>En validación</v>
          </cell>
          <cell r="K663">
            <v>46035</v>
          </cell>
        </row>
        <row r="664">
          <cell r="B664" t="str">
            <v>MAC_Cobertura2026_186</v>
          </cell>
          <cell r="C664" t="str">
            <v>LI_Mathey</v>
          </cell>
          <cell r="D664" t="str">
            <v>M0861</v>
          </cell>
          <cell r="E664" t="str">
            <v>COBERTURA 2026</v>
          </cell>
          <cell r="F664" t="str">
            <v>Macros</v>
          </cell>
          <cell r="G664">
            <v>2026</v>
          </cell>
          <cell r="H664" t="str">
            <v>2Q</v>
          </cell>
          <cell r="I664" t="str">
            <v>Almendra Vásquez</v>
          </cell>
          <cell r="J664" t="str">
            <v>En Busqueda</v>
          </cell>
          <cell r="K664">
            <v>46035</v>
          </cell>
        </row>
        <row r="665">
          <cell r="B665" t="str">
            <v>MAC_Cobertura2026_187</v>
          </cell>
          <cell r="C665" t="str">
            <v>LI_ParquePalao</v>
          </cell>
          <cell r="D665" t="str">
            <v>M0861</v>
          </cell>
          <cell r="E665" t="str">
            <v>COBERTURA 2026</v>
          </cell>
          <cell r="F665" t="str">
            <v>Macros</v>
          </cell>
          <cell r="G665">
            <v>2026</v>
          </cell>
          <cell r="H665" t="str">
            <v>2Q</v>
          </cell>
          <cell r="I665" t="str">
            <v>Almendra Vásquez</v>
          </cell>
          <cell r="J665" t="str">
            <v>En Busqueda</v>
          </cell>
          <cell r="K665">
            <v>46035</v>
          </cell>
        </row>
        <row r="666">
          <cell r="B666" t="str">
            <v>MAC_Cobertura2026_188</v>
          </cell>
          <cell r="C666" t="str">
            <v>LI_Querencia</v>
          </cell>
          <cell r="D666" t="str">
            <v>M0861</v>
          </cell>
          <cell r="E666" t="str">
            <v>COBERTURA 2026</v>
          </cell>
          <cell r="F666" t="str">
            <v>Macros</v>
          </cell>
          <cell r="G666">
            <v>2026</v>
          </cell>
          <cell r="H666" t="str">
            <v>2Q</v>
          </cell>
          <cell r="I666" t="str">
            <v>Almendra Vásquez</v>
          </cell>
          <cell r="J666" t="str">
            <v>En validación</v>
          </cell>
          <cell r="K666">
            <v>46035</v>
          </cell>
        </row>
        <row r="667">
          <cell r="B667" t="str">
            <v>MAC_Cobertura2026_189</v>
          </cell>
          <cell r="C667" t="str">
            <v>LM_HUAYCAN_ADD7_JGL</v>
          </cell>
          <cell r="D667" t="str">
            <v>M0861</v>
          </cell>
          <cell r="E667" t="str">
            <v>COBERTURA 2026</v>
          </cell>
          <cell r="F667" t="str">
            <v>Macros</v>
          </cell>
          <cell r="G667">
            <v>2026</v>
          </cell>
          <cell r="H667" t="str">
            <v>2Q</v>
          </cell>
          <cell r="I667" t="str">
            <v>Almendra Vásquez</v>
          </cell>
          <cell r="J667" t="str">
            <v>En Busqueda</v>
          </cell>
          <cell r="K667">
            <v>46035</v>
          </cell>
        </row>
        <row r="668">
          <cell r="B668" t="str">
            <v>MAC_Cobertura2026_190</v>
          </cell>
          <cell r="C668" t="str">
            <v>LM_MacroFromPs_Chaclacayo_02</v>
          </cell>
          <cell r="D668" t="str">
            <v>M0861</v>
          </cell>
          <cell r="E668" t="str">
            <v>COBERTURA 2026</v>
          </cell>
          <cell r="F668" t="str">
            <v>Macros</v>
          </cell>
          <cell r="G668">
            <v>2026</v>
          </cell>
          <cell r="H668" t="str">
            <v>2Q</v>
          </cell>
          <cell r="I668" t="str">
            <v>Almendra Vásquez</v>
          </cell>
          <cell r="J668" t="str">
            <v>En Busqueda</v>
          </cell>
          <cell r="K668">
            <v>46035</v>
          </cell>
        </row>
        <row r="669">
          <cell r="B669" t="str">
            <v>MAC_Cobertura2026_191</v>
          </cell>
          <cell r="C669" t="str">
            <v>LM_NuevaGales</v>
          </cell>
          <cell r="D669" t="str">
            <v>M0861</v>
          </cell>
          <cell r="E669" t="str">
            <v>COBERTURA 2026</v>
          </cell>
          <cell r="F669" t="str">
            <v>Macros</v>
          </cell>
          <cell r="G669">
            <v>2026</v>
          </cell>
          <cell r="H669" t="str">
            <v>2Q</v>
          </cell>
          <cell r="I669" t="str">
            <v>Almendra Vásquez</v>
          </cell>
          <cell r="J669" t="str">
            <v>En Busqueda</v>
          </cell>
          <cell r="K669">
            <v>46035</v>
          </cell>
        </row>
        <row r="670">
          <cell r="B670" t="str">
            <v>MAC_Cobertura2026_192</v>
          </cell>
          <cell r="C670" t="str">
            <v>LM_PATIVILCA_01</v>
          </cell>
          <cell r="D670" t="str">
            <v>M0861</v>
          </cell>
          <cell r="E670" t="str">
            <v>COBERTURA 2026</v>
          </cell>
          <cell r="F670" t="str">
            <v>Macros</v>
          </cell>
          <cell r="G670">
            <v>2026</v>
          </cell>
          <cell r="H670" t="str">
            <v>1 Q</v>
          </cell>
          <cell r="I670" t="str">
            <v>Almendra Vásquez</v>
          </cell>
          <cell r="J670" t="str">
            <v>En validación</v>
          </cell>
          <cell r="K670">
            <v>46035</v>
          </cell>
        </row>
        <row r="671">
          <cell r="B671" t="str">
            <v>MAC_Cobertura2026_193</v>
          </cell>
          <cell r="C671" t="str">
            <v>LM_PuentePiedra_05</v>
          </cell>
          <cell r="D671" t="str">
            <v>M0861</v>
          </cell>
          <cell r="E671" t="str">
            <v>COBERTURA 2026</v>
          </cell>
          <cell r="F671" t="str">
            <v>Macros</v>
          </cell>
          <cell r="G671">
            <v>2026</v>
          </cell>
          <cell r="H671" t="str">
            <v>2Q</v>
          </cell>
          <cell r="I671" t="str">
            <v>Almendra Vásquez</v>
          </cell>
          <cell r="J671" t="str">
            <v>En Busqueda</v>
          </cell>
          <cell r="K671">
            <v>46035</v>
          </cell>
        </row>
        <row r="672">
          <cell r="B672" t="str">
            <v>MAC_Cobertura2026_194</v>
          </cell>
          <cell r="C672" t="str">
            <v>LM_VEN_02</v>
          </cell>
          <cell r="D672" t="str">
            <v>M0861</v>
          </cell>
          <cell r="E672" t="str">
            <v>COBERTURA 2026</v>
          </cell>
          <cell r="F672" t="str">
            <v>Macros</v>
          </cell>
          <cell r="G672">
            <v>2026</v>
          </cell>
          <cell r="H672" t="str">
            <v>2Q</v>
          </cell>
          <cell r="I672" t="str">
            <v>Almendra Vásquez</v>
          </cell>
          <cell r="J672" t="str">
            <v>En Busqueda</v>
          </cell>
          <cell r="K672">
            <v>46035</v>
          </cell>
        </row>
        <row r="673">
          <cell r="B673" t="str">
            <v>MAC_Cobertura2026_195</v>
          </cell>
          <cell r="C673" t="str">
            <v>MataraniAsur</v>
          </cell>
          <cell r="D673" t="str">
            <v>M0861</v>
          </cell>
          <cell r="E673" t="str">
            <v>COBERTURA 2026</v>
          </cell>
          <cell r="F673" t="str">
            <v>Macros</v>
          </cell>
          <cell r="G673">
            <v>2026</v>
          </cell>
          <cell r="H673" t="str">
            <v>2Q</v>
          </cell>
          <cell r="I673" t="str">
            <v>Almendra Vásquez</v>
          </cell>
          <cell r="J673" t="str">
            <v>En validación</v>
          </cell>
          <cell r="K673">
            <v>46035</v>
          </cell>
        </row>
        <row r="674">
          <cell r="B674" t="str">
            <v>MAC_Cobertura2026_196</v>
          </cell>
          <cell r="C674" t="str">
            <v>MD_Tambopata_10</v>
          </cell>
          <cell r="D674" t="str">
            <v>M0861</v>
          </cell>
          <cell r="E674" t="str">
            <v>COBERTURA 2026</v>
          </cell>
          <cell r="F674" t="str">
            <v>Macros</v>
          </cell>
          <cell r="G674">
            <v>2026</v>
          </cell>
          <cell r="H674" t="str">
            <v>2Q</v>
          </cell>
          <cell r="I674" t="str">
            <v>Almendra Vásquez</v>
          </cell>
          <cell r="J674" t="str">
            <v>En validación</v>
          </cell>
          <cell r="K674">
            <v>46035</v>
          </cell>
        </row>
        <row r="675">
          <cell r="B675" t="str">
            <v>MAC_Cobertura2026_197</v>
          </cell>
          <cell r="C675" t="str">
            <v>MD_Tambopata_11</v>
          </cell>
          <cell r="D675" t="str">
            <v>M0861</v>
          </cell>
          <cell r="E675" t="str">
            <v>COBERTURA 2026</v>
          </cell>
          <cell r="F675" t="str">
            <v>Macros</v>
          </cell>
          <cell r="G675">
            <v>2026</v>
          </cell>
          <cell r="H675" t="str">
            <v>2Q</v>
          </cell>
          <cell r="I675" t="str">
            <v>Almendra Vásquez</v>
          </cell>
          <cell r="J675" t="str">
            <v>En Busqueda</v>
          </cell>
          <cell r="K675">
            <v>46035</v>
          </cell>
        </row>
        <row r="676">
          <cell r="B676" t="str">
            <v>MAC_Cobertura2026_198</v>
          </cell>
          <cell r="C676" t="str">
            <v>MD_Tambopata_17</v>
          </cell>
          <cell r="D676" t="str">
            <v>M0861</v>
          </cell>
          <cell r="E676" t="str">
            <v>COBERTURA 2026</v>
          </cell>
          <cell r="F676" t="str">
            <v>Macros</v>
          </cell>
          <cell r="G676">
            <v>2026</v>
          </cell>
          <cell r="H676" t="str">
            <v>2Q</v>
          </cell>
          <cell r="I676" t="str">
            <v>Almendra Vásquez</v>
          </cell>
          <cell r="J676" t="str">
            <v>En Busqueda</v>
          </cell>
          <cell r="K676">
            <v>46035</v>
          </cell>
        </row>
        <row r="677">
          <cell r="B677" t="str">
            <v>MAC_Cobertura2026_199</v>
          </cell>
          <cell r="C677" t="str">
            <v>MD_Tambopata_18</v>
          </cell>
          <cell r="D677" t="str">
            <v>M0861</v>
          </cell>
          <cell r="E677" t="str">
            <v>COBERTURA 2026</v>
          </cell>
          <cell r="F677" t="str">
            <v>Macros</v>
          </cell>
          <cell r="G677">
            <v>2026</v>
          </cell>
          <cell r="H677" t="str">
            <v>2Q</v>
          </cell>
          <cell r="I677" t="str">
            <v>Almendra Vásquez</v>
          </cell>
          <cell r="J677" t="str">
            <v>En Busqueda</v>
          </cell>
          <cell r="K677">
            <v>46035</v>
          </cell>
        </row>
        <row r="678">
          <cell r="B678" t="str">
            <v>MAC_Cobertura2026_200</v>
          </cell>
          <cell r="C678" t="str">
            <v>MejiaNorte</v>
          </cell>
          <cell r="D678" t="str">
            <v>M0861</v>
          </cell>
          <cell r="E678" t="str">
            <v>COBERTURA 2026</v>
          </cell>
          <cell r="F678" t="str">
            <v>Macros</v>
          </cell>
          <cell r="G678">
            <v>2026</v>
          </cell>
          <cell r="H678" t="str">
            <v>2Q</v>
          </cell>
          <cell r="I678" t="str">
            <v>Almendra Vásquez</v>
          </cell>
          <cell r="J678" t="str">
            <v>En Busqueda</v>
          </cell>
          <cell r="K678">
            <v>46035</v>
          </cell>
        </row>
        <row r="679">
          <cell r="B679" t="str">
            <v>MAC_Cobertura2026_201</v>
          </cell>
          <cell r="C679" t="str">
            <v>MQ_AlgarrobalDeIlo</v>
          </cell>
          <cell r="D679" t="str">
            <v>M0861</v>
          </cell>
          <cell r="E679" t="str">
            <v>COBERTURA 2026</v>
          </cell>
          <cell r="F679" t="str">
            <v>Macros</v>
          </cell>
          <cell r="G679">
            <v>2026</v>
          </cell>
          <cell r="H679" t="str">
            <v>2Q</v>
          </cell>
          <cell r="I679" t="str">
            <v>Almendra Vásquez</v>
          </cell>
          <cell r="J679" t="str">
            <v>En Busqueda</v>
          </cell>
          <cell r="K679">
            <v>46035</v>
          </cell>
        </row>
        <row r="680">
          <cell r="B680" t="str">
            <v>MAC_Cobertura2026_202</v>
          </cell>
          <cell r="C680" t="str">
            <v>MQ_CoerMoquegua</v>
          </cell>
          <cell r="D680" t="str">
            <v>M0861</v>
          </cell>
          <cell r="E680" t="str">
            <v>COBERTURA 2026</v>
          </cell>
          <cell r="F680" t="str">
            <v>Macros</v>
          </cell>
          <cell r="G680">
            <v>2026</v>
          </cell>
          <cell r="H680" t="str">
            <v>2Q</v>
          </cell>
          <cell r="I680" t="str">
            <v>Almendra Vásquez</v>
          </cell>
          <cell r="J680" t="str">
            <v>En validación</v>
          </cell>
          <cell r="K680">
            <v>46035</v>
          </cell>
        </row>
        <row r="681">
          <cell r="B681" t="str">
            <v>MAC_Cobertura2026_203</v>
          </cell>
          <cell r="C681" t="str">
            <v>MQ_LasGlorietas</v>
          </cell>
          <cell r="D681" t="str">
            <v>M0861</v>
          </cell>
          <cell r="E681" t="str">
            <v>COBERTURA 2026</v>
          </cell>
          <cell r="F681" t="str">
            <v>Macros</v>
          </cell>
          <cell r="G681">
            <v>2026</v>
          </cell>
          <cell r="H681" t="str">
            <v>2Q</v>
          </cell>
          <cell r="I681" t="str">
            <v>Almendra Vásquez</v>
          </cell>
          <cell r="J681" t="str">
            <v>En Busqueda</v>
          </cell>
          <cell r="K681">
            <v>46035</v>
          </cell>
        </row>
        <row r="682">
          <cell r="B682" t="str">
            <v>MAC_Cobertura2026_204</v>
          </cell>
          <cell r="C682" t="str">
            <v>MQ_LozaAlata</v>
          </cell>
          <cell r="D682" t="str">
            <v>M0861</v>
          </cell>
          <cell r="E682" t="str">
            <v>COBERTURA 2026</v>
          </cell>
          <cell r="F682" t="str">
            <v>Macros</v>
          </cell>
          <cell r="G682">
            <v>2026</v>
          </cell>
          <cell r="H682" t="str">
            <v>2Q</v>
          </cell>
          <cell r="I682" t="str">
            <v>Almendra Vásquez</v>
          </cell>
          <cell r="J682" t="str">
            <v>En Busqueda</v>
          </cell>
          <cell r="K682">
            <v>46035</v>
          </cell>
        </row>
        <row r="683">
          <cell r="B683" t="str">
            <v>MAC_Cobertura2026_205</v>
          </cell>
          <cell r="C683" t="str">
            <v>MQ_PampaInalambrica</v>
          </cell>
          <cell r="D683" t="str">
            <v>M0861</v>
          </cell>
          <cell r="E683" t="str">
            <v>COBERTURA 2026</v>
          </cell>
          <cell r="F683" t="str">
            <v>Macros</v>
          </cell>
          <cell r="G683">
            <v>2026</v>
          </cell>
          <cell r="H683" t="str">
            <v>2Q</v>
          </cell>
          <cell r="I683" t="str">
            <v>Almendra Vásquez</v>
          </cell>
          <cell r="J683" t="str">
            <v>En Busqueda</v>
          </cell>
          <cell r="K683">
            <v>46035</v>
          </cell>
        </row>
        <row r="684">
          <cell r="B684" t="str">
            <v>MAC_Cobertura2026_206</v>
          </cell>
          <cell r="C684" t="str">
            <v>MQ_PampaMiramar</v>
          </cell>
          <cell r="D684" t="str">
            <v>M0861</v>
          </cell>
          <cell r="E684" t="str">
            <v>COBERTURA 2026</v>
          </cell>
          <cell r="F684" t="str">
            <v>Macros</v>
          </cell>
          <cell r="G684">
            <v>2026</v>
          </cell>
          <cell r="H684" t="str">
            <v>1 Q</v>
          </cell>
          <cell r="I684" t="str">
            <v>Almendra Vásquez</v>
          </cell>
          <cell r="J684" t="str">
            <v>En validación</v>
          </cell>
          <cell r="K684">
            <v>46035</v>
          </cell>
        </row>
        <row r="685">
          <cell r="B685" t="str">
            <v>MAC_Cobertura2026_207</v>
          </cell>
          <cell r="C685" t="str">
            <v>MQ_PlazaEnace</v>
          </cell>
          <cell r="D685" t="str">
            <v>M0861</v>
          </cell>
          <cell r="E685" t="str">
            <v>COBERTURA 2026</v>
          </cell>
          <cell r="F685" t="str">
            <v>Macros</v>
          </cell>
          <cell r="G685">
            <v>2026</v>
          </cell>
          <cell r="H685" t="str">
            <v>2Q</v>
          </cell>
          <cell r="I685" t="str">
            <v>Almendra Vásquez</v>
          </cell>
          <cell r="J685" t="str">
            <v>En validación</v>
          </cell>
          <cell r="K685">
            <v>46035</v>
          </cell>
        </row>
        <row r="686">
          <cell r="B686" t="str">
            <v>MAC_Cobertura2026_208</v>
          </cell>
          <cell r="C686" t="str">
            <v>PI_LesFleurs</v>
          </cell>
          <cell r="D686" t="str">
            <v>M0861</v>
          </cell>
          <cell r="E686" t="str">
            <v>COBERTURA 2026</v>
          </cell>
          <cell r="F686" t="str">
            <v>Macros</v>
          </cell>
          <cell r="G686">
            <v>2026</v>
          </cell>
          <cell r="H686" t="str">
            <v>1 Q</v>
          </cell>
          <cell r="I686" t="str">
            <v>Almendra Vásquez</v>
          </cell>
          <cell r="J686" t="str">
            <v>En validación</v>
          </cell>
          <cell r="K686">
            <v>46035</v>
          </cell>
        </row>
        <row r="687">
          <cell r="B687" t="str">
            <v>MAC_Cobertura2026_209</v>
          </cell>
          <cell r="C687" t="str">
            <v>PI_PAITA_02</v>
          </cell>
          <cell r="D687" t="str">
            <v>M0861</v>
          </cell>
          <cell r="E687" t="str">
            <v>COBERTURA 2026</v>
          </cell>
          <cell r="F687" t="str">
            <v>Macros</v>
          </cell>
          <cell r="G687">
            <v>2026</v>
          </cell>
          <cell r="H687" t="str">
            <v>1 Q</v>
          </cell>
          <cell r="I687" t="str">
            <v>Almendra Vásquez</v>
          </cell>
          <cell r="J687" t="str">
            <v>En validación</v>
          </cell>
          <cell r="K687">
            <v>46035</v>
          </cell>
        </row>
        <row r="688">
          <cell r="B688" t="str">
            <v>MAC_Cobertura2026_210</v>
          </cell>
          <cell r="C688" t="str">
            <v>PI_Pavletich</v>
          </cell>
          <cell r="D688" t="str">
            <v>M0861</v>
          </cell>
          <cell r="E688" t="str">
            <v>COBERTURA 2026</v>
          </cell>
          <cell r="F688" t="str">
            <v>Macros</v>
          </cell>
          <cell r="G688">
            <v>2026</v>
          </cell>
          <cell r="H688" t="str">
            <v>2Q</v>
          </cell>
          <cell r="I688" t="str">
            <v>Almendra Vásquez</v>
          </cell>
          <cell r="J688" t="str">
            <v>En Busqueda</v>
          </cell>
          <cell r="K688">
            <v>46035</v>
          </cell>
        </row>
        <row r="689">
          <cell r="B689" t="str">
            <v>MAC_Cobertura2026_211</v>
          </cell>
          <cell r="C689" t="str">
            <v>PI_PIURA_04</v>
          </cell>
          <cell r="D689" t="str">
            <v>M0861</v>
          </cell>
          <cell r="E689" t="str">
            <v>COBERTURA 2026</v>
          </cell>
          <cell r="F689" t="str">
            <v>Macros</v>
          </cell>
          <cell r="G689">
            <v>2026</v>
          </cell>
          <cell r="H689" t="str">
            <v>1 Q</v>
          </cell>
          <cell r="I689" t="str">
            <v>Almendra Vásquez</v>
          </cell>
          <cell r="J689" t="str">
            <v>En validación</v>
          </cell>
          <cell r="K689">
            <v>46035</v>
          </cell>
        </row>
        <row r="690">
          <cell r="B690" t="str">
            <v>MAC_Cobertura2026_212</v>
          </cell>
          <cell r="C690" t="str">
            <v>PI_PIURA_06</v>
          </cell>
          <cell r="D690" t="str">
            <v>M0861</v>
          </cell>
          <cell r="E690" t="str">
            <v>COBERTURA 2026</v>
          </cell>
          <cell r="F690" t="str">
            <v>Macros</v>
          </cell>
          <cell r="G690">
            <v>2026</v>
          </cell>
          <cell r="H690" t="str">
            <v>2Q</v>
          </cell>
          <cell r="I690" t="str">
            <v>Almendra Vásquez</v>
          </cell>
          <cell r="J690" t="str">
            <v>En Busqueda</v>
          </cell>
          <cell r="K690">
            <v>46035</v>
          </cell>
        </row>
        <row r="691">
          <cell r="B691" t="str">
            <v>MAC_Cobertura2026_213</v>
          </cell>
          <cell r="C691" t="str">
            <v>PN_CoberturaAdd_01</v>
          </cell>
          <cell r="D691" t="str">
            <v>M0861</v>
          </cell>
          <cell r="E691" t="str">
            <v>COBERTURA 2026</v>
          </cell>
          <cell r="F691" t="str">
            <v>Macros</v>
          </cell>
          <cell r="G691">
            <v>2026</v>
          </cell>
          <cell r="H691" t="str">
            <v>2Q</v>
          </cell>
          <cell r="I691" t="str">
            <v>Almendra Vásquez</v>
          </cell>
          <cell r="J691" t="str">
            <v>En Busqueda</v>
          </cell>
          <cell r="K691">
            <v>46035</v>
          </cell>
        </row>
        <row r="692">
          <cell r="B692" t="str">
            <v>MAC_Cobertura2026_214</v>
          </cell>
          <cell r="C692" t="str">
            <v>PN_CoberturaAdd_02</v>
          </cell>
          <cell r="D692" t="str">
            <v>M0861</v>
          </cell>
          <cell r="E692" t="str">
            <v>COBERTURA 2026</v>
          </cell>
          <cell r="F692" t="str">
            <v>Macros</v>
          </cell>
          <cell r="G692">
            <v>2026</v>
          </cell>
          <cell r="H692" t="str">
            <v>2Q</v>
          </cell>
          <cell r="I692" t="str">
            <v>Almendra Vásquez</v>
          </cell>
          <cell r="J692" t="str">
            <v>En Busqueda</v>
          </cell>
          <cell r="K692">
            <v>46035</v>
          </cell>
        </row>
        <row r="693">
          <cell r="B693" t="str">
            <v>MAC_Cobertura2026_215</v>
          </cell>
          <cell r="C693" t="str">
            <v>PN_CoberturaAdd_03</v>
          </cell>
          <cell r="D693" t="str">
            <v>M0861</v>
          </cell>
          <cell r="E693" t="str">
            <v>COBERTURA 2026</v>
          </cell>
          <cell r="F693" t="str">
            <v>Macros</v>
          </cell>
          <cell r="G693">
            <v>2026</v>
          </cell>
          <cell r="H693" t="str">
            <v>2Q</v>
          </cell>
          <cell r="I693" t="str">
            <v>Almendra Vásquez</v>
          </cell>
          <cell r="J693" t="str">
            <v>En Busqueda</v>
          </cell>
          <cell r="K693">
            <v>46035</v>
          </cell>
        </row>
        <row r="694">
          <cell r="B694" t="str">
            <v>MAC_Cobertura2026_216</v>
          </cell>
          <cell r="C694" t="str">
            <v>PN_CoberturaAdd_04</v>
          </cell>
          <cell r="D694" t="str">
            <v>M0861</v>
          </cell>
          <cell r="E694" t="str">
            <v>COBERTURA 2026</v>
          </cell>
          <cell r="F694" t="str">
            <v>Macros</v>
          </cell>
          <cell r="G694">
            <v>2026</v>
          </cell>
          <cell r="H694" t="str">
            <v>2Q</v>
          </cell>
          <cell r="I694" t="str">
            <v>Almendra Vásquez</v>
          </cell>
          <cell r="J694" t="str">
            <v>En Busqueda</v>
          </cell>
          <cell r="K694">
            <v>46035</v>
          </cell>
        </row>
        <row r="695">
          <cell r="B695" t="str">
            <v>MAC_Cobertura2026_217</v>
          </cell>
          <cell r="C695" t="str">
            <v>PN_Juliaca_02</v>
          </cell>
          <cell r="D695" t="str">
            <v>M0861</v>
          </cell>
          <cell r="E695" t="str">
            <v>COBERTURA 2026</v>
          </cell>
          <cell r="F695" t="str">
            <v>Macros</v>
          </cell>
          <cell r="G695">
            <v>2026</v>
          </cell>
          <cell r="H695" t="str">
            <v>2Q</v>
          </cell>
          <cell r="I695" t="str">
            <v>Almendra Vásquez</v>
          </cell>
          <cell r="J695" t="str">
            <v>En Busqueda</v>
          </cell>
          <cell r="K695">
            <v>46035</v>
          </cell>
        </row>
        <row r="696">
          <cell r="B696" t="str">
            <v>MAC_Cobertura2026_218</v>
          </cell>
          <cell r="C696" t="str">
            <v>PN_Juliaca_04</v>
          </cell>
          <cell r="D696" t="str">
            <v>M0861</v>
          </cell>
          <cell r="E696" t="str">
            <v>COBERTURA 2026</v>
          </cell>
          <cell r="F696" t="str">
            <v>Macros</v>
          </cell>
          <cell r="G696">
            <v>2026</v>
          </cell>
          <cell r="H696" t="str">
            <v>2Q</v>
          </cell>
          <cell r="I696" t="str">
            <v>Almendra Vásquez</v>
          </cell>
          <cell r="J696" t="str">
            <v>En Busqueda</v>
          </cell>
          <cell r="K696">
            <v>46035</v>
          </cell>
        </row>
        <row r="697">
          <cell r="B697" t="str">
            <v>MAC_Cobertura2026_219</v>
          </cell>
          <cell r="C697" t="str">
            <v>PN_Puno_01</v>
          </cell>
          <cell r="D697" t="str">
            <v>M0861</v>
          </cell>
          <cell r="E697" t="str">
            <v>COBERTURA 2026</v>
          </cell>
          <cell r="F697" t="str">
            <v>Macros</v>
          </cell>
          <cell r="G697">
            <v>2026</v>
          </cell>
          <cell r="H697" t="str">
            <v>2Q</v>
          </cell>
          <cell r="I697" t="str">
            <v>Almendra Vásquez</v>
          </cell>
          <cell r="J697" t="str">
            <v>En Busqueda</v>
          </cell>
          <cell r="K697">
            <v>46035</v>
          </cell>
        </row>
        <row r="698">
          <cell r="B698" t="str">
            <v>MAC_Cobertura2026_220</v>
          </cell>
          <cell r="C698" t="str">
            <v>PN_Puno_02</v>
          </cell>
          <cell r="D698" t="str">
            <v>M0861</v>
          </cell>
          <cell r="E698" t="str">
            <v>COBERTURA 2026</v>
          </cell>
          <cell r="F698" t="str">
            <v>Macros</v>
          </cell>
          <cell r="G698">
            <v>2026</v>
          </cell>
          <cell r="H698" t="str">
            <v>2Q</v>
          </cell>
          <cell r="I698" t="str">
            <v>Almendra Vásquez</v>
          </cell>
          <cell r="J698" t="str">
            <v>En Busqueda</v>
          </cell>
          <cell r="K698">
            <v>46035</v>
          </cell>
        </row>
        <row r="699">
          <cell r="B699" t="str">
            <v>MAC_Cobertura2026_221</v>
          </cell>
          <cell r="C699" t="str">
            <v>PN_Puno_03</v>
          </cell>
          <cell r="D699" t="str">
            <v>M0861</v>
          </cell>
          <cell r="E699" t="str">
            <v>COBERTURA 2026</v>
          </cell>
          <cell r="F699" t="str">
            <v>Macros</v>
          </cell>
          <cell r="G699">
            <v>2026</v>
          </cell>
          <cell r="H699" t="str">
            <v>2Q</v>
          </cell>
          <cell r="I699" t="str">
            <v>Almendra Vásquez</v>
          </cell>
          <cell r="J699" t="str">
            <v>En Busqueda</v>
          </cell>
          <cell r="K699">
            <v>46035</v>
          </cell>
        </row>
        <row r="700">
          <cell r="B700" t="str">
            <v>MAC_Cobertura2026_222</v>
          </cell>
          <cell r="C700" t="str">
            <v>PN_Puno_07</v>
          </cell>
          <cell r="D700" t="str">
            <v>M0861</v>
          </cell>
          <cell r="E700" t="str">
            <v>COBERTURA 2026</v>
          </cell>
          <cell r="F700" t="str">
            <v>Macros</v>
          </cell>
          <cell r="G700">
            <v>2026</v>
          </cell>
          <cell r="H700" t="str">
            <v>2Q</v>
          </cell>
          <cell r="I700" t="str">
            <v>Almendra Vásquez</v>
          </cell>
          <cell r="J700" t="str">
            <v>En Busqueda</v>
          </cell>
          <cell r="K700">
            <v>46035</v>
          </cell>
        </row>
        <row r="701">
          <cell r="B701" t="str">
            <v>MAC_Cobertura2026_223</v>
          </cell>
          <cell r="C701" t="str">
            <v>SM_Juanjui_02</v>
          </cell>
          <cell r="D701" t="str">
            <v>M0861</v>
          </cell>
          <cell r="E701" t="str">
            <v>COBERTURA 2026</v>
          </cell>
          <cell r="F701" t="str">
            <v>Macros</v>
          </cell>
          <cell r="G701">
            <v>2026</v>
          </cell>
          <cell r="H701" t="str">
            <v>2Q</v>
          </cell>
          <cell r="I701" t="str">
            <v>Almendra Vásquez</v>
          </cell>
          <cell r="J701" t="str">
            <v>En validación</v>
          </cell>
          <cell r="K701">
            <v>46035</v>
          </cell>
        </row>
        <row r="702">
          <cell r="B702" t="str">
            <v>MAC_Cobertura2026_224</v>
          </cell>
          <cell r="C702" t="str">
            <v>SM_Moyobamba_03</v>
          </cell>
          <cell r="D702" t="str">
            <v>M0861</v>
          </cell>
          <cell r="E702" t="str">
            <v>COBERTURA 2026</v>
          </cell>
          <cell r="F702" t="str">
            <v>Macros</v>
          </cell>
          <cell r="G702">
            <v>2026</v>
          </cell>
          <cell r="H702" t="str">
            <v>2Q</v>
          </cell>
          <cell r="I702" t="str">
            <v>Almendra Vásquez</v>
          </cell>
          <cell r="J702" t="str">
            <v>En Busqueda</v>
          </cell>
          <cell r="K702">
            <v>46035</v>
          </cell>
        </row>
        <row r="703">
          <cell r="B703" t="str">
            <v>MAC_Cobertura2026_225</v>
          </cell>
          <cell r="C703" t="str">
            <v>SM_Nueva_Cajamarca_02</v>
          </cell>
          <cell r="D703" t="str">
            <v>M0861</v>
          </cell>
          <cell r="E703" t="str">
            <v>COBERTURA 2026</v>
          </cell>
          <cell r="F703" t="str">
            <v>Macros</v>
          </cell>
          <cell r="G703">
            <v>2026</v>
          </cell>
          <cell r="H703" t="str">
            <v>2Q</v>
          </cell>
          <cell r="I703" t="str">
            <v>Almendra Vásquez</v>
          </cell>
          <cell r="J703" t="str">
            <v>En Busqueda</v>
          </cell>
          <cell r="K703">
            <v>46035</v>
          </cell>
        </row>
        <row r="704">
          <cell r="B704" t="str">
            <v>MAC_Cobertura2026_226</v>
          </cell>
          <cell r="C704" t="str">
            <v>SM_Soritor_03</v>
          </cell>
          <cell r="D704" t="str">
            <v>M0861</v>
          </cell>
          <cell r="E704" t="str">
            <v>COBERTURA 2026</v>
          </cell>
          <cell r="F704" t="str">
            <v>Macros</v>
          </cell>
          <cell r="G704">
            <v>2026</v>
          </cell>
          <cell r="H704" t="str">
            <v>2Q</v>
          </cell>
          <cell r="I704" t="str">
            <v>Almendra Vásquez</v>
          </cell>
          <cell r="J704" t="str">
            <v>En Busqueda</v>
          </cell>
          <cell r="K704">
            <v>46035</v>
          </cell>
        </row>
        <row r="705">
          <cell r="B705" t="str">
            <v>MAC_Cobertura2026_227</v>
          </cell>
          <cell r="C705" t="str">
            <v>TA_Capanique</v>
          </cell>
          <cell r="D705" t="str">
            <v>M0861</v>
          </cell>
          <cell r="E705" t="str">
            <v>COBERTURA 2026</v>
          </cell>
          <cell r="F705" t="str">
            <v>Macros</v>
          </cell>
          <cell r="G705">
            <v>2026</v>
          </cell>
          <cell r="H705" t="str">
            <v>2Q</v>
          </cell>
          <cell r="I705" t="str">
            <v>Almendra Vásquez</v>
          </cell>
          <cell r="J705" t="str">
            <v>En Busqueda</v>
          </cell>
          <cell r="K705">
            <v>46035</v>
          </cell>
        </row>
        <row r="706">
          <cell r="B706" t="str">
            <v>MAC_Cobertura2026_228</v>
          </cell>
          <cell r="C706" t="str">
            <v>TA_CementerioPocollay</v>
          </cell>
          <cell r="D706" t="str">
            <v>M0861</v>
          </cell>
          <cell r="E706" t="str">
            <v>COBERTURA 2026</v>
          </cell>
          <cell r="F706" t="str">
            <v>Macros</v>
          </cell>
          <cell r="G706">
            <v>2026</v>
          </cell>
          <cell r="H706" t="str">
            <v>1 Q</v>
          </cell>
          <cell r="I706" t="str">
            <v>Almendra Vásquez</v>
          </cell>
          <cell r="J706" t="str">
            <v>En validación</v>
          </cell>
          <cell r="K706">
            <v>46035</v>
          </cell>
        </row>
        <row r="707">
          <cell r="B707" t="str">
            <v>MAC_Cobertura2026_229</v>
          </cell>
          <cell r="C707" t="str">
            <v>TA_Dalix</v>
          </cell>
          <cell r="D707" t="str">
            <v>M0861</v>
          </cell>
          <cell r="E707" t="str">
            <v>COBERTURA 2026</v>
          </cell>
          <cell r="F707" t="str">
            <v>Macros</v>
          </cell>
          <cell r="G707">
            <v>2026</v>
          </cell>
          <cell r="H707" t="str">
            <v>2Q</v>
          </cell>
          <cell r="I707" t="str">
            <v>Almendra Vásquez</v>
          </cell>
          <cell r="J707" t="str">
            <v>En validación</v>
          </cell>
          <cell r="K707">
            <v>46035</v>
          </cell>
        </row>
        <row r="708">
          <cell r="B708" t="str">
            <v>MAC_Cobertura2026_230</v>
          </cell>
          <cell r="C708" t="str">
            <v>TA_Indacochea</v>
          </cell>
          <cell r="D708" t="str">
            <v>M0861</v>
          </cell>
          <cell r="E708" t="str">
            <v>COBERTURA 2026</v>
          </cell>
          <cell r="F708" t="str">
            <v>Macros</v>
          </cell>
          <cell r="G708">
            <v>2026</v>
          </cell>
          <cell r="H708" t="str">
            <v>2Q</v>
          </cell>
          <cell r="I708" t="str">
            <v>Almendra Vásquez</v>
          </cell>
          <cell r="J708" t="str">
            <v>En validación</v>
          </cell>
          <cell r="K708">
            <v>46035</v>
          </cell>
        </row>
        <row r="709">
          <cell r="B709" t="str">
            <v>MAC_Cobertura2026_231</v>
          </cell>
          <cell r="C709" t="str">
            <v>TA_MagnoliasDeTacna</v>
          </cell>
          <cell r="D709" t="str">
            <v>M0861</v>
          </cell>
          <cell r="E709" t="str">
            <v>COBERTURA 2026</v>
          </cell>
          <cell r="F709" t="str">
            <v>Macros</v>
          </cell>
          <cell r="G709">
            <v>2026</v>
          </cell>
          <cell r="H709" t="str">
            <v>2Q</v>
          </cell>
          <cell r="I709" t="str">
            <v>Almendra Vásquez</v>
          </cell>
          <cell r="J709" t="str">
            <v>En Busqueda</v>
          </cell>
          <cell r="K709">
            <v>46035</v>
          </cell>
        </row>
        <row r="710">
          <cell r="B710" t="str">
            <v>MAC_Cobertura2026_232</v>
          </cell>
          <cell r="C710" t="str">
            <v>TA_VilladuSoleil</v>
          </cell>
          <cell r="D710" t="str">
            <v>M0861</v>
          </cell>
          <cell r="E710" t="str">
            <v>COBERTURA 2026</v>
          </cell>
          <cell r="F710" t="str">
            <v>Macros</v>
          </cell>
          <cell r="G710">
            <v>2026</v>
          </cell>
          <cell r="H710" t="str">
            <v>2Q</v>
          </cell>
          <cell r="I710" t="str">
            <v>Almendra Vásquez</v>
          </cell>
          <cell r="J710" t="str">
            <v>En Busqueda</v>
          </cell>
          <cell r="K710">
            <v>46035</v>
          </cell>
        </row>
        <row r="711">
          <cell r="B711" t="str">
            <v>MAC_Cobertura2026_233</v>
          </cell>
          <cell r="C711" t="str">
            <v>TU_AlamedaMagica</v>
          </cell>
          <cell r="D711" t="str">
            <v>M0861</v>
          </cell>
          <cell r="E711" t="str">
            <v>COBERTURA 2026</v>
          </cell>
          <cell r="F711" t="str">
            <v>Macros</v>
          </cell>
          <cell r="G711">
            <v>2026</v>
          </cell>
          <cell r="H711" t="str">
            <v>2Q</v>
          </cell>
          <cell r="I711" t="str">
            <v>Almendra Vásquez</v>
          </cell>
          <cell r="J711" t="str">
            <v>En Busqueda</v>
          </cell>
          <cell r="K711">
            <v>46035</v>
          </cell>
        </row>
        <row r="712">
          <cell r="B712" t="str">
            <v>MAC_Cobertura2026_234</v>
          </cell>
          <cell r="C712" t="str">
            <v>TU_LaCapitaniaDePuntaSal</v>
          </cell>
          <cell r="D712" t="str">
            <v>M0861</v>
          </cell>
          <cell r="E712" t="str">
            <v>COBERTURA 2026</v>
          </cell>
          <cell r="F712" t="str">
            <v>Macros</v>
          </cell>
          <cell r="G712">
            <v>2026</v>
          </cell>
          <cell r="H712" t="str">
            <v>2Q</v>
          </cell>
          <cell r="I712" t="str">
            <v>Almendra Vásquez</v>
          </cell>
          <cell r="J712" t="str">
            <v>En Busqueda</v>
          </cell>
          <cell r="K712">
            <v>46035</v>
          </cell>
        </row>
        <row r="713">
          <cell r="B713" t="str">
            <v>MAC_Cobertura2026_235</v>
          </cell>
          <cell r="C713" t="str">
            <v>TU_Marval</v>
          </cell>
          <cell r="D713" t="str">
            <v>M0861</v>
          </cell>
          <cell r="E713" t="str">
            <v>COBERTURA 2026</v>
          </cell>
          <cell r="F713" t="str">
            <v>Macros</v>
          </cell>
          <cell r="G713">
            <v>2026</v>
          </cell>
          <cell r="H713" t="str">
            <v>2Q</v>
          </cell>
          <cell r="I713" t="str">
            <v>Almendra Vásquez</v>
          </cell>
          <cell r="J713" t="str">
            <v>En Busqueda</v>
          </cell>
          <cell r="K713">
            <v>46035</v>
          </cell>
        </row>
        <row r="714">
          <cell r="B714" t="str">
            <v>MAC_Cobertura2026_236</v>
          </cell>
          <cell r="C714" t="str">
            <v>TU_MercadoDeCorrales</v>
          </cell>
          <cell r="D714" t="str">
            <v>M0861</v>
          </cell>
          <cell r="E714" t="str">
            <v>COBERTURA 2026</v>
          </cell>
          <cell r="F714" t="str">
            <v>Macros</v>
          </cell>
          <cell r="G714">
            <v>2026</v>
          </cell>
          <cell r="H714" t="str">
            <v>2Q</v>
          </cell>
          <cell r="I714" t="str">
            <v>Almendra Vásquez</v>
          </cell>
          <cell r="J714" t="str">
            <v>En Busqueda</v>
          </cell>
          <cell r="K714">
            <v>46035</v>
          </cell>
        </row>
        <row r="715">
          <cell r="B715" t="str">
            <v>MAC_Cobertura2026_237</v>
          </cell>
          <cell r="C715" t="str">
            <v>TU_Neleus</v>
          </cell>
          <cell r="D715" t="str">
            <v>M0861</v>
          </cell>
          <cell r="E715" t="str">
            <v>COBERTURA 2026</v>
          </cell>
          <cell r="F715" t="str">
            <v>Macros</v>
          </cell>
          <cell r="G715">
            <v>2026</v>
          </cell>
          <cell r="H715" t="str">
            <v>2Q</v>
          </cell>
          <cell r="I715" t="str">
            <v>Almendra Vásquez</v>
          </cell>
          <cell r="J715" t="str">
            <v>En Busqueda</v>
          </cell>
          <cell r="K715">
            <v>46035</v>
          </cell>
        </row>
        <row r="716">
          <cell r="B716" t="str">
            <v>MAC_Cobertura2026_238</v>
          </cell>
          <cell r="C716" t="str">
            <v>TU_ParqueDelSalitre</v>
          </cell>
          <cell r="D716" t="str">
            <v>M0861</v>
          </cell>
          <cell r="E716" t="str">
            <v>COBERTURA 2026</v>
          </cell>
          <cell r="F716" t="str">
            <v>Macros</v>
          </cell>
          <cell r="G716">
            <v>2026</v>
          </cell>
          <cell r="H716" t="str">
            <v>1 Q</v>
          </cell>
          <cell r="I716" t="str">
            <v>Almendra Vásquez</v>
          </cell>
          <cell r="J716" t="str">
            <v>En validación</v>
          </cell>
          <cell r="K716">
            <v>46035</v>
          </cell>
        </row>
        <row r="717">
          <cell r="B717" t="str">
            <v>MAC_Cobertura2026_239</v>
          </cell>
          <cell r="C717" t="str">
            <v>TU_Rhodos</v>
          </cell>
          <cell r="D717" t="str">
            <v>M0861</v>
          </cell>
          <cell r="E717" t="str">
            <v>COBERTURA 2026</v>
          </cell>
          <cell r="F717" t="str">
            <v>Macros</v>
          </cell>
          <cell r="G717">
            <v>2026</v>
          </cell>
          <cell r="H717" t="str">
            <v>1 Q</v>
          </cell>
          <cell r="I717" t="str">
            <v>Almendra Vásquez</v>
          </cell>
          <cell r="J717" t="str">
            <v>En validación</v>
          </cell>
          <cell r="K717">
            <v>46035</v>
          </cell>
        </row>
        <row r="718">
          <cell r="B718" t="str">
            <v>MAC_Cobertura2026_240</v>
          </cell>
          <cell r="C718" t="str">
            <v>TU_VirgenDelCisne</v>
          </cell>
          <cell r="D718" t="str">
            <v>M0861</v>
          </cell>
          <cell r="E718" t="str">
            <v>COBERTURA 2026</v>
          </cell>
          <cell r="F718" t="str">
            <v>Macros</v>
          </cell>
          <cell r="G718">
            <v>2026</v>
          </cell>
          <cell r="H718" t="str">
            <v>2Q</v>
          </cell>
          <cell r="I718" t="str">
            <v>Almendra Vásquez</v>
          </cell>
          <cell r="J718" t="str">
            <v>En validación</v>
          </cell>
          <cell r="K718">
            <v>46035</v>
          </cell>
        </row>
        <row r="719">
          <cell r="B719" t="str">
            <v>MAC_Cobertura2026_241</v>
          </cell>
          <cell r="C719" t="str">
            <v>ArequipaMetSur01_SuggestedNode_131</v>
          </cell>
          <cell r="D719" t="str">
            <v>M0861</v>
          </cell>
          <cell r="E719" t="str">
            <v>COBERTURA 2026</v>
          </cell>
          <cell r="F719" t="str">
            <v>Macros</v>
          </cell>
          <cell r="G719">
            <v>2026</v>
          </cell>
          <cell r="H719" t="str">
            <v>2Q</v>
          </cell>
          <cell r="I719" t="str">
            <v>Almendra Vásquez</v>
          </cell>
          <cell r="J719" t="str">
            <v>En Busqueda</v>
          </cell>
          <cell r="K719">
            <v>46035</v>
          </cell>
        </row>
        <row r="720">
          <cell r="B720" t="str">
            <v>MAC_Cobertura2026_242</v>
          </cell>
          <cell r="C720" t="str">
            <v>LH_Pillcomarca_02</v>
          </cell>
          <cell r="D720" t="str">
            <v>M0861</v>
          </cell>
          <cell r="E720" t="str">
            <v>COBERTURA 2026</v>
          </cell>
          <cell r="F720" t="str">
            <v>Macros</v>
          </cell>
          <cell r="G720">
            <v>2026</v>
          </cell>
          <cell r="H720" t="str">
            <v>2Q</v>
          </cell>
          <cell r="I720" t="str">
            <v>Almendra Vásquez</v>
          </cell>
          <cell r="J720" t="str">
            <v>En validación</v>
          </cell>
          <cell r="K720">
            <v>46035</v>
          </cell>
        </row>
        <row r="721">
          <cell r="B721" t="str">
            <v>MAC_Cobertura2026_243</v>
          </cell>
          <cell r="C721" t="str">
            <v>LO_Loreto_34</v>
          </cell>
          <cell r="D721" t="str">
            <v>M0861</v>
          </cell>
          <cell r="E721" t="str">
            <v>COBERTURA 2026</v>
          </cell>
          <cell r="F721" t="str">
            <v>Macros</v>
          </cell>
          <cell r="G721">
            <v>2026</v>
          </cell>
          <cell r="H721" t="str">
            <v>1 Q</v>
          </cell>
          <cell r="I721" t="str">
            <v>Almendra Vásquez</v>
          </cell>
          <cell r="J721" t="str">
            <v>En validación</v>
          </cell>
          <cell r="K721">
            <v>46035</v>
          </cell>
        </row>
        <row r="722">
          <cell r="B722" t="str">
            <v>MAC_Cobertura2026_244</v>
          </cell>
          <cell r="C722" t="str">
            <v>LO_Loreto_10</v>
          </cell>
          <cell r="D722" t="str">
            <v>M0861</v>
          </cell>
          <cell r="E722" t="str">
            <v>COBERTURA 2026</v>
          </cell>
          <cell r="F722" t="str">
            <v>Macros</v>
          </cell>
          <cell r="G722">
            <v>2026</v>
          </cell>
          <cell r="H722" t="str">
            <v>1 Q</v>
          </cell>
          <cell r="I722" t="str">
            <v>Almendra Vásquez</v>
          </cell>
          <cell r="J722" t="str">
            <v>En validación</v>
          </cell>
          <cell r="K722">
            <v>46035</v>
          </cell>
        </row>
        <row r="723">
          <cell r="B723" t="str">
            <v>MAC_Cobertura2026_245</v>
          </cell>
          <cell r="C723" t="str">
            <v>CA_Cajamarca_05</v>
          </cell>
          <cell r="D723" t="str">
            <v>M0861</v>
          </cell>
          <cell r="E723" t="str">
            <v>COBERTURA 2026</v>
          </cell>
          <cell r="F723" t="str">
            <v>Macros</v>
          </cell>
          <cell r="G723">
            <v>2026</v>
          </cell>
          <cell r="H723" t="str">
            <v>1 Q</v>
          </cell>
          <cell r="I723" t="str">
            <v>Almendra Vásquez</v>
          </cell>
          <cell r="J723" t="str">
            <v>En Busqueda</v>
          </cell>
          <cell r="K723">
            <v>46035</v>
          </cell>
        </row>
        <row r="724">
          <cell r="B724" t="str">
            <v>MAC_RollOut2026_246</v>
          </cell>
          <cell r="C724" t="str">
            <v>013253517_LM_PuenteBalta</v>
          </cell>
          <cell r="D724" t="str">
            <v>M0853</v>
          </cell>
          <cell r="E724" t="str">
            <v>ROLLOUT 2026</v>
          </cell>
          <cell r="F724" t="str">
            <v>Macros</v>
          </cell>
          <cell r="G724">
            <v>2026</v>
          </cell>
          <cell r="H724" t="str">
            <v>1 Q</v>
          </cell>
          <cell r="I724" t="str">
            <v>Almendra Vásquez</v>
          </cell>
          <cell r="J724" t="str">
            <v>En saneamiento</v>
          </cell>
          <cell r="K724">
            <v>46035</v>
          </cell>
        </row>
        <row r="725">
          <cell r="B725" t="str">
            <v>MAC_RollOut2026_247</v>
          </cell>
          <cell r="C725" t="str">
            <v>013311633_PN_RamosGutierrez</v>
          </cell>
          <cell r="D725" t="str">
            <v>M0853</v>
          </cell>
          <cell r="E725" t="str">
            <v>ROLLOUT 2026</v>
          </cell>
          <cell r="F725" t="str">
            <v>Macros</v>
          </cell>
          <cell r="G725">
            <v>2026</v>
          </cell>
          <cell r="H725" t="str">
            <v>1 Q</v>
          </cell>
          <cell r="I725" t="str">
            <v>Almendra Vásquez</v>
          </cell>
          <cell r="J725" t="str">
            <v>En validación</v>
          </cell>
          <cell r="K725">
            <v>46035</v>
          </cell>
        </row>
        <row r="726">
          <cell r="B726" t="str">
            <v>MAC_RollOut2026_248</v>
          </cell>
          <cell r="C726" t="str">
            <v>013222415_JU_Heraud</v>
          </cell>
          <cell r="D726" t="str">
            <v>M0853</v>
          </cell>
          <cell r="E726" t="str">
            <v>ROLLOUT 2026</v>
          </cell>
          <cell r="F726" t="str">
            <v>Macros</v>
          </cell>
          <cell r="G726">
            <v>2026</v>
          </cell>
          <cell r="H726" t="str">
            <v>1 Q</v>
          </cell>
          <cell r="I726" t="str">
            <v>Almendra Vásquez</v>
          </cell>
          <cell r="J726" t="str">
            <v>En Busqueda</v>
          </cell>
          <cell r="K726">
            <v>46035</v>
          </cell>
        </row>
        <row r="727">
          <cell r="B727" t="str">
            <v>MAC_RollOut2026_249</v>
          </cell>
          <cell r="C727" t="str">
            <v>013161286_CA_Bambamarquita</v>
          </cell>
          <cell r="D727" t="str">
            <v>M0853</v>
          </cell>
          <cell r="E727" t="str">
            <v>ROLLOUT 2026</v>
          </cell>
          <cell r="F727" t="str">
            <v>Macros</v>
          </cell>
          <cell r="G727">
            <v>2026</v>
          </cell>
          <cell r="H727" t="str">
            <v>1 Q</v>
          </cell>
          <cell r="I727" t="str">
            <v>Almendra Vásquez</v>
          </cell>
          <cell r="J727" t="str">
            <v>ON AIR</v>
          </cell>
          <cell r="K727">
            <v>46035</v>
          </cell>
        </row>
        <row r="728">
          <cell r="B728" t="str">
            <v>MAC_RollOut2026_250</v>
          </cell>
          <cell r="C728" t="str">
            <v>013252628_LM_MuseoMetropolitano</v>
          </cell>
          <cell r="D728" t="str">
            <v>M0853</v>
          </cell>
          <cell r="E728" t="str">
            <v>ROLLOUT 2026</v>
          </cell>
          <cell r="F728" t="str">
            <v>Macros</v>
          </cell>
          <cell r="G728">
            <v>2026</v>
          </cell>
          <cell r="H728" t="str">
            <v>1 Q</v>
          </cell>
          <cell r="I728" t="str">
            <v>Almendra Vásquez</v>
          </cell>
          <cell r="J728" t="str">
            <v>En saneamiento</v>
          </cell>
          <cell r="K728">
            <v>46035</v>
          </cell>
        </row>
        <row r="729">
          <cell r="B729" t="str">
            <v>MAC_RollOut2026_251</v>
          </cell>
          <cell r="C729" t="str">
            <v>013253528_LM_CiudadDeLosHeroesCaidos</v>
          </cell>
          <cell r="D729" t="str">
            <v>M0853</v>
          </cell>
          <cell r="E729" t="str">
            <v>ROLLOUT 2026</v>
          </cell>
          <cell r="F729" t="str">
            <v>Macros</v>
          </cell>
          <cell r="G729">
            <v>2026</v>
          </cell>
          <cell r="H729" t="str">
            <v>Eliminado</v>
          </cell>
          <cell r="I729" t="str">
            <v>Almendra Vásquez</v>
          </cell>
          <cell r="J729" t="str">
            <v>Eliminado</v>
          </cell>
          <cell r="K729">
            <v>46035</v>
          </cell>
        </row>
        <row r="730">
          <cell r="B730" t="str">
            <v>MAC_RollOut2026_252</v>
          </cell>
          <cell r="C730" t="str">
            <v>013252910_LM_Tomanga</v>
          </cell>
          <cell r="D730" t="str">
            <v>M0853</v>
          </cell>
          <cell r="E730" t="str">
            <v>ROLLOUT 2026</v>
          </cell>
          <cell r="F730" t="str">
            <v>Macros</v>
          </cell>
          <cell r="G730">
            <v>2026</v>
          </cell>
          <cell r="H730" t="str">
            <v>2Q</v>
          </cell>
          <cell r="I730" t="str">
            <v>Almendra Vásquez</v>
          </cell>
          <cell r="J730" t="str">
            <v>En Busqueda</v>
          </cell>
          <cell r="K730">
            <v>46035</v>
          </cell>
        </row>
        <row r="731">
          <cell r="B731" t="str">
            <v>MAC_RollOut2026_253</v>
          </cell>
          <cell r="C731" t="str">
            <v>013252641_LM_GregorioParedes</v>
          </cell>
          <cell r="D731" t="str">
            <v>M0853</v>
          </cell>
          <cell r="E731" t="str">
            <v>ROLLOUT 2026</v>
          </cell>
          <cell r="F731" t="str">
            <v>Macros</v>
          </cell>
          <cell r="G731">
            <v>2026</v>
          </cell>
          <cell r="H731" t="str">
            <v>1 Q</v>
          </cell>
          <cell r="I731" t="str">
            <v>Almendra Vásquez</v>
          </cell>
          <cell r="J731" t="str">
            <v>En Construcción</v>
          </cell>
          <cell r="K731">
            <v>46035</v>
          </cell>
        </row>
        <row r="732">
          <cell r="B732" t="str">
            <v>MAC_RollOut2026_254</v>
          </cell>
          <cell r="C732" t="str">
            <v>013181638_CS_Epadi</v>
          </cell>
          <cell r="D732" t="str">
            <v>M0853</v>
          </cell>
          <cell r="E732" t="str">
            <v>ROLLOUT 2026</v>
          </cell>
          <cell r="F732" t="str">
            <v>Macros</v>
          </cell>
          <cell r="G732">
            <v>2026</v>
          </cell>
          <cell r="H732" t="str">
            <v>1 Q</v>
          </cell>
          <cell r="I732" t="str">
            <v>Almendra Vásquez</v>
          </cell>
          <cell r="J732" t="str">
            <v>Saneo - Obras</v>
          </cell>
          <cell r="K732">
            <v>46035</v>
          </cell>
        </row>
        <row r="733">
          <cell r="B733" t="str">
            <v>MAC_RollOut2026_255</v>
          </cell>
          <cell r="C733" t="str">
            <v>MercedesCabello_3Ad</v>
          </cell>
          <cell r="D733" t="str">
            <v>M0853</v>
          </cell>
          <cell r="E733" t="str">
            <v>ROLLOUT 2026</v>
          </cell>
          <cell r="F733" t="str">
            <v>Macros</v>
          </cell>
          <cell r="G733">
            <v>2026</v>
          </cell>
          <cell r="H733" t="str">
            <v>2Q</v>
          </cell>
          <cell r="I733" t="str">
            <v>Almendra Vásquez</v>
          </cell>
          <cell r="J733" t="str">
            <v>En Busqueda</v>
          </cell>
          <cell r="K733">
            <v>46035</v>
          </cell>
        </row>
        <row r="734">
          <cell r="B734" t="str">
            <v>MAC_RollOut2026_256</v>
          </cell>
          <cell r="C734" t="str">
            <v>013120355_AN_SantaIsabelDeHungria</v>
          </cell>
          <cell r="D734" t="str">
            <v>M0853</v>
          </cell>
          <cell r="E734" t="str">
            <v>ROLLOUT 2026</v>
          </cell>
          <cell r="F734" t="str">
            <v>Macros</v>
          </cell>
          <cell r="G734">
            <v>2026</v>
          </cell>
          <cell r="H734" t="str">
            <v>1 Q</v>
          </cell>
          <cell r="I734" t="str">
            <v>Almendra Vásquez</v>
          </cell>
          <cell r="J734" t="str">
            <v>ON AIR</v>
          </cell>
          <cell r="K734">
            <v>46035</v>
          </cell>
        </row>
        <row r="735">
          <cell r="B735" t="str">
            <v>MAC_RollOut2026_257</v>
          </cell>
          <cell r="C735" t="str">
            <v>013252075_LM_ElPalmito</v>
          </cell>
          <cell r="D735" t="str">
            <v>M0853</v>
          </cell>
          <cell r="E735" t="str">
            <v>ROLLOUT 2026</v>
          </cell>
          <cell r="F735" t="str">
            <v>Macros</v>
          </cell>
          <cell r="G735">
            <v>2026</v>
          </cell>
          <cell r="H735" t="str">
            <v>1 Q</v>
          </cell>
          <cell r="I735" t="str">
            <v>Almendra Vásquez</v>
          </cell>
          <cell r="J735" t="str">
            <v>En Construcción</v>
          </cell>
          <cell r="K735">
            <v>46035</v>
          </cell>
        </row>
        <row r="736">
          <cell r="B736" t="str">
            <v>MAC_RollOut2026_258</v>
          </cell>
          <cell r="C736" t="str">
            <v>Arequipa1_R2026</v>
          </cell>
          <cell r="D736" t="str">
            <v>M0853</v>
          </cell>
          <cell r="E736" t="str">
            <v>ROLLOUT 2026</v>
          </cell>
          <cell r="F736" t="str">
            <v>Macros</v>
          </cell>
          <cell r="G736">
            <v>2026</v>
          </cell>
          <cell r="H736" t="str">
            <v>2Q</v>
          </cell>
          <cell r="I736" t="str">
            <v>Almendra Vásquez</v>
          </cell>
          <cell r="J736" t="str">
            <v>En validación</v>
          </cell>
          <cell r="K736">
            <v>46035</v>
          </cell>
        </row>
        <row r="737">
          <cell r="B737" t="str">
            <v>MAC_RollOut2026_259</v>
          </cell>
          <cell r="C737" t="str">
            <v>Independencia1_R2026</v>
          </cell>
          <cell r="D737" t="str">
            <v>M0853</v>
          </cell>
          <cell r="E737" t="str">
            <v>ROLLOUT 2026</v>
          </cell>
          <cell r="F737" t="str">
            <v>Macros</v>
          </cell>
          <cell r="G737">
            <v>2026</v>
          </cell>
          <cell r="H737" t="str">
            <v>2Q</v>
          </cell>
          <cell r="I737" t="str">
            <v>Almendra Vásquez</v>
          </cell>
          <cell r="J737" t="str">
            <v>En validación</v>
          </cell>
          <cell r="K737">
            <v>46035</v>
          </cell>
        </row>
        <row r="738">
          <cell r="B738" t="str">
            <v>MAC_RollOut2026_260</v>
          </cell>
          <cell r="C738" t="str">
            <v>Junin1_R2026</v>
          </cell>
          <cell r="D738" t="str">
            <v>M0853</v>
          </cell>
          <cell r="E738" t="str">
            <v>ROLLOUT 2026</v>
          </cell>
          <cell r="F738" t="str">
            <v>Macros</v>
          </cell>
          <cell r="G738">
            <v>2026</v>
          </cell>
          <cell r="H738" t="str">
            <v>2Q</v>
          </cell>
          <cell r="I738" t="str">
            <v>Almendra Vásquez</v>
          </cell>
          <cell r="J738" t="str">
            <v>En validación</v>
          </cell>
          <cell r="K738">
            <v>46035</v>
          </cell>
        </row>
        <row r="739">
          <cell r="B739" t="str">
            <v>MAC_RollOut2026_261</v>
          </cell>
          <cell r="C739" t="str">
            <v>JesusMaria1_R2026</v>
          </cell>
          <cell r="D739" t="str">
            <v>M0853</v>
          </cell>
          <cell r="E739" t="str">
            <v>ROLLOUT 2026</v>
          </cell>
          <cell r="F739" t="str">
            <v>Macros</v>
          </cell>
          <cell r="G739">
            <v>2026</v>
          </cell>
          <cell r="H739" t="str">
            <v>2Q</v>
          </cell>
          <cell r="I739" t="str">
            <v>Almendra Vásquez</v>
          </cell>
          <cell r="J739" t="str">
            <v>En validación</v>
          </cell>
          <cell r="K739">
            <v>46035</v>
          </cell>
        </row>
        <row r="740">
          <cell r="B740" t="str">
            <v>MAC_RollOut2026_262</v>
          </cell>
          <cell r="C740" t="str">
            <v>Arequipa2_R2026</v>
          </cell>
          <cell r="D740" t="str">
            <v>M0853</v>
          </cell>
          <cell r="E740" t="str">
            <v>ROLLOUT 2026</v>
          </cell>
          <cell r="F740" t="str">
            <v>Macros</v>
          </cell>
          <cell r="G740">
            <v>2026</v>
          </cell>
          <cell r="H740" t="str">
            <v>2Q</v>
          </cell>
          <cell r="I740" t="str">
            <v>Almendra Vásquez</v>
          </cell>
          <cell r="J740" t="str">
            <v>En validación</v>
          </cell>
          <cell r="K740">
            <v>46035</v>
          </cell>
        </row>
        <row r="741">
          <cell r="B741" t="str">
            <v>MAC_CoberturaIndoor2026_263</v>
          </cell>
          <cell r="C741" t="str">
            <v>ChiclayoMet_SuggestedNode_3</v>
          </cell>
          <cell r="D741" t="str">
            <v>Sin Cod</v>
          </cell>
          <cell r="E741" t="str">
            <v>COBERTURA INDOOR 2026</v>
          </cell>
          <cell r="F741" t="str">
            <v>Macros</v>
          </cell>
          <cell r="G741">
            <v>2026</v>
          </cell>
          <cell r="H741" t="str">
            <v>2Q</v>
          </cell>
          <cell r="I741" t="str">
            <v>Almendra Vásquez</v>
          </cell>
          <cell r="J741" t="str">
            <v>En validación</v>
          </cell>
          <cell r="K741">
            <v>46035</v>
          </cell>
        </row>
        <row r="742">
          <cell r="B742" t="str">
            <v>MAC_CoberturaIndoor2026_264</v>
          </cell>
          <cell r="C742" t="str">
            <v>LM_DiegoAlmagro</v>
          </cell>
          <cell r="D742" t="str">
            <v>Sin Cod</v>
          </cell>
          <cell r="E742" t="str">
            <v>COBERTURA INDOOR 2026</v>
          </cell>
          <cell r="F742" t="str">
            <v>Macros</v>
          </cell>
          <cell r="G742">
            <v>2026</v>
          </cell>
          <cell r="H742" t="str">
            <v>2Q</v>
          </cell>
          <cell r="I742" t="str">
            <v>Almendra Vásquez</v>
          </cell>
          <cell r="J742" t="str">
            <v>En Busqueda</v>
          </cell>
          <cell r="K742">
            <v>46035</v>
          </cell>
        </row>
        <row r="743">
          <cell r="B743" t="str">
            <v>MAC_CoberturaIndoor2026_265</v>
          </cell>
          <cell r="C743" t="str">
            <v>LM_JironGirasol</v>
          </cell>
          <cell r="D743" t="str">
            <v>Sin Cod</v>
          </cell>
          <cell r="E743" t="str">
            <v>COBERTURA INDOOR 2026</v>
          </cell>
          <cell r="F743" t="str">
            <v>Macros</v>
          </cell>
          <cell r="G743">
            <v>2026</v>
          </cell>
          <cell r="H743" t="str">
            <v>2Q</v>
          </cell>
          <cell r="I743" t="str">
            <v>Almendra Vásquez</v>
          </cell>
          <cell r="J743" t="str">
            <v>En Busqueda</v>
          </cell>
          <cell r="K743">
            <v>46035</v>
          </cell>
        </row>
        <row r="744">
          <cell r="B744" t="str">
            <v>MAC_CoberturaIndoor2026_266</v>
          </cell>
          <cell r="C744" t="str">
            <v>AQ_Paucarpata_01</v>
          </cell>
          <cell r="D744" t="str">
            <v>Sin Cod</v>
          </cell>
          <cell r="E744" t="str">
            <v>COBERTURA INDOOR 2026</v>
          </cell>
          <cell r="F744" t="str">
            <v>Macros</v>
          </cell>
          <cell r="G744">
            <v>2026</v>
          </cell>
          <cell r="H744" t="str">
            <v>2Q</v>
          </cell>
          <cell r="I744" t="str">
            <v>Almendra Vásquez</v>
          </cell>
          <cell r="J744" t="str">
            <v>En Busqueda</v>
          </cell>
          <cell r="K744">
            <v>46035</v>
          </cell>
        </row>
        <row r="745">
          <cell r="B745" t="str">
            <v>MAC_CoberturaIndoor2026_267</v>
          </cell>
          <cell r="C745" t="str">
            <v>LimaMet_Callao_SuggestedNode_59</v>
          </cell>
          <cell r="D745" t="str">
            <v>Sin Cod</v>
          </cell>
          <cell r="E745" t="str">
            <v>COBERTURA INDOOR 2026</v>
          </cell>
          <cell r="F745" t="str">
            <v>Macros</v>
          </cell>
          <cell r="G745">
            <v>2026</v>
          </cell>
          <cell r="H745" t="str">
            <v>2Q</v>
          </cell>
          <cell r="I745" t="str">
            <v>Almendra Vásquez</v>
          </cell>
          <cell r="J745" t="str">
            <v>En Busqueda</v>
          </cell>
          <cell r="K745">
            <v>46035</v>
          </cell>
        </row>
        <row r="746">
          <cell r="B746" t="str">
            <v>MAC_CoberturaIndoor2026_268</v>
          </cell>
          <cell r="C746" t="str">
            <v>LimaMet_SmOlIn_SuggestedNode_87</v>
          </cell>
          <cell r="D746" t="str">
            <v>Sin Cod</v>
          </cell>
          <cell r="E746" t="str">
            <v>COBERTURA INDOOR 2026</v>
          </cell>
          <cell r="F746" t="str">
            <v>Macros</v>
          </cell>
          <cell r="G746">
            <v>2026</v>
          </cell>
          <cell r="H746" t="str">
            <v>2Q</v>
          </cell>
          <cell r="I746" t="str">
            <v>Almendra Vásquez</v>
          </cell>
          <cell r="J746" t="str">
            <v>En Busqueda</v>
          </cell>
          <cell r="K746">
            <v>46035</v>
          </cell>
        </row>
        <row r="747">
          <cell r="B747" t="str">
            <v>MAC_CoberturaIndoor2026_269</v>
          </cell>
          <cell r="C747" t="str">
            <v>LimaMet_Carabayllo02_SuggestedNode_5</v>
          </cell>
          <cell r="D747" t="str">
            <v>Sin Cod</v>
          </cell>
          <cell r="E747" t="str">
            <v>COBERTURA INDOOR 2026</v>
          </cell>
          <cell r="F747" t="str">
            <v>Macros</v>
          </cell>
          <cell r="G747">
            <v>2026</v>
          </cell>
          <cell r="H747" t="str">
            <v>2Q</v>
          </cell>
          <cell r="I747" t="str">
            <v>Almendra Vásquez</v>
          </cell>
          <cell r="J747" t="str">
            <v>En Busqueda</v>
          </cell>
          <cell r="K747">
            <v>46035</v>
          </cell>
        </row>
        <row r="748">
          <cell r="B748" t="str">
            <v>MAC_CoberturaIndoor2026_270</v>
          </cell>
          <cell r="C748" t="str">
            <v>LimaMet_SJL01_SuggestedNode_71</v>
          </cell>
          <cell r="D748" t="str">
            <v>Sin Cod</v>
          </cell>
          <cell r="E748" t="str">
            <v>COBERTURA INDOOR 2026</v>
          </cell>
          <cell r="F748" t="str">
            <v>Macros</v>
          </cell>
          <cell r="G748">
            <v>2026</v>
          </cell>
          <cell r="H748" t="str">
            <v>2Q</v>
          </cell>
          <cell r="I748" t="str">
            <v>Almendra Vásquez</v>
          </cell>
          <cell r="J748" t="str">
            <v>En validación</v>
          </cell>
          <cell r="K748">
            <v>46035</v>
          </cell>
        </row>
        <row r="749">
          <cell r="B749" t="str">
            <v>MAC_CoberturaIndoor2026_271</v>
          </cell>
          <cell r="C749" t="str">
            <v>LM_TorresDeCruceta</v>
          </cell>
          <cell r="D749" t="str">
            <v>Sin Cod</v>
          </cell>
          <cell r="E749" t="str">
            <v>COBERTURA INDOOR 2026</v>
          </cell>
          <cell r="F749" t="str">
            <v>Macros</v>
          </cell>
          <cell r="G749">
            <v>2026</v>
          </cell>
          <cell r="H749" t="str">
            <v>2Q</v>
          </cell>
          <cell r="I749" t="str">
            <v>Almendra Vásquez</v>
          </cell>
          <cell r="J749" t="str">
            <v>En validación</v>
          </cell>
          <cell r="K749">
            <v>46035</v>
          </cell>
        </row>
        <row r="750">
          <cell r="B750" t="str">
            <v>MAC_CoberturaIndoor2026_272</v>
          </cell>
          <cell r="C750" t="str">
            <v>LA_Poste02</v>
          </cell>
          <cell r="D750" t="str">
            <v>Sin Cod</v>
          </cell>
          <cell r="E750" t="str">
            <v>COBERTURA INDOOR 2026</v>
          </cell>
          <cell r="F750" t="str">
            <v>Macros</v>
          </cell>
          <cell r="G750">
            <v>2026</v>
          </cell>
          <cell r="H750" t="str">
            <v>2Q</v>
          </cell>
          <cell r="I750" t="str">
            <v>Almendra Vásquez</v>
          </cell>
          <cell r="J750" t="str">
            <v>En Busqueda</v>
          </cell>
          <cell r="K750">
            <v>46035</v>
          </cell>
        </row>
        <row r="751">
          <cell r="B751" t="str">
            <v>MAC_CoberturaIndoor2026_273</v>
          </cell>
          <cell r="C751" t="str">
            <v>LM_Lorente</v>
          </cell>
          <cell r="D751" t="str">
            <v>Sin Cod</v>
          </cell>
          <cell r="E751" t="str">
            <v>COBERTURA INDOOR 2026</v>
          </cell>
          <cell r="F751" t="str">
            <v>Macros</v>
          </cell>
          <cell r="G751">
            <v>2026</v>
          </cell>
          <cell r="H751" t="str">
            <v>2Q</v>
          </cell>
          <cell r="I751" t="str">
            <v>Almendra Vásquez</v>
          </cell>
          <cell r="J751" t="str">
            <v>En Busqueda</v>
          </cell>
          <cell r="K751">
            <v>46035</v>
          </cell>
        </row>
        <row r="752">
          <cell r="B752" t="str">
            <v>MAC_CoberturaIndoor2026_274</v>
          </cell>
          <cell r="C752" t="str">
            <v>LimaMet_Callao_SuggestedNode_22</v>
          </cell>
          <cell r="D752" t="str">
            <v>Sin Cod</v>
          </cell>
          <cell r="E752" t="str">
            <v>COBERTURA INDOOR 2026</v>
          </cell>
          <cell r="F752" t="str">
            <v>Macros</v>
          </cell>
          <cell r="G752">
            <v>2026</v>
          </cell>
          <cell r="H752" t="str">
            <v>1 Q</v>
          </cell>
          <cell r="I752" t="str">
            <v>Almendra Vásquez</v>
          </cell>
          <cell r="J752" t="str">
            <v>En validación</v>
          </cell>
          <cell r="K752">
            <v>46035</v>
          </cell>
        </row>
        <row r="753">
          <cell r="B753" t="str">
            <v>MAC_CoberturaIndoor2026_275</v>
          </cell>
          <cell r="C753" t="str">
            <v>ArequipaMetSur02_SuggestedNode_142</v>
          </cell>
          <cell r="D753" t="str">
            <v>Sin Cod</v>
          </cell>
          <cell r="E753" t="str">
            <v>COBERTURA INDOOR 2026</v>
          </cell>
          <cell r="F753" t="str">
            <v>Macros</v>
          </cell>
          <cell r="G753">
            <v>2026</v>
          </cell>
          <cell r="H753" t="str">
            <v>1 Q</v>
          </cell>
          <cell r="I753" t="str">
            <v>Almendra Vásquez</v>
          </cell>
          <cell r="J753" t="str">
            <v>En validación</v>
          </cell>
          <cell r="K753">
            <v>46035</v>
          </cell>
        </row>
        <row r="754">
          <cell r="B754" t="str">
            <v>MAC_CoberturaIndoor2026_276</v>
          </cell>
          <cell r="C754" t="str">
            <v>LimaMet_ChoSjm_SuggestedNode_40</v>
          </cell>
          <cell r="D754" t="str">
            <v>Sin Cod</v>
          </cell>
          <cell r="E754" t="str">
            <v>COBERTURA INDOOR 2026</v>
          </cell>
          <cell r="F754" t="str">
            <v>Macros</v>
          </cell>
          <cell r="G754">
            <v>2026</v>
          </cell>
          <cell r="H754" t="str">
            <v>2Q</v>
          </cell>
          <cell r="I754" t="str">
            <v>Almendra Vásquez</v>
          </cell>
          <cell r="J754" t="str">
            <v>En Busqueda</v>
          </cell>
          <cell r="K754">
            <v>46035</v>
          </cell>
        </row>
        <row r="755">
          <cell r="B755" t="str">
            <v>MAC_CoberturaIndoor2026_277</v>
          </cell>
          <cell r="C755" t="str">
            <v>LimaMet_SJL01_SuggestedNode_9</v>
          </cell>
          <cell r="D755" t="str">
            <v>Sin Cod</v>
          </cell>
          <cell r="E755" t="str">
            <v>COBERTURA INDOOR 2026</v>
          </cell>
          <cell r="F755" t="str">
            <v>Macros</v>
          </cell>
          <cell r="G755">
            <v>2026</v>
          </cell>
          <cell r="H755" t="str">
            <v>2Q</v>
          </cell>
          <cell r="I755" t="str">
            <v>Almendra Vásquez</v>
          </cell>
          <cell r="J755" t="str">
            <v>En Busqueda</v>
          </cell>
          <cell r="K755">
            <v>46035</v>
          </cell>
        </row>
        <row r="756">
          <cell r="B756" t="str">
            <v>MAC_CoberturaIndoor2026_278</v>
          </cell>
          <cell r="C756" t="str">
            <v>LM_VES_08</v>
          </cell>
          <cell r="D756" t="str">
            <v>Sin Cod</v>
          </cell>
          <cell r="E756" t="str">
            <v>COBERTURA INDOOR 2026</v>
          </cell>
          <cell r="F756" t="str">
            <v>Macros</v>
          </cell>
          <cell r="G756">
            <v>2026</v>
          </cell>
          <cell r="H756" t="str">
            <v>2Q</v>
          </cell>
          <cell r="I756" t="str">
            <v>Almendra Vásquez</v>
          </cell>
          <cell r="J756" t="str">
            <v>En validación</v>
          </cell>
          <cell r="K756">
            <v>46035</v>
          </cell>
        </row>
        <row r="757">
          <cell r="B757" t="str">
            <v>MAC_CoberturaIndoor2026_279</v>
          </cell>
          <cell r="C757" t="str">
            <v>LimaMet_SmOlIn_SuggestedNode_46</v>
          </cell>
          <cell r="D757" t="str">
            <v>Sin Cod</v>
          </cell>
          <cell r="E757" t="str">
            <v>COBERTURA INDOOR 2026</v>
          </cell>
          <cell r="F757" t="str">
            <v>Macros</v>
          </cell>
          <cell r="G757">
            <v>2026</v>
          </cell>
          <cell r="H757" t="str">
            <v>1 Q</v>
          </cell>
          <cell r="I757" t="str">
            <v>Almendra Vásquez</v>
          </cell>
          <cell r="J757" t="str">
            <v>En validación</v>
          </cell>
          <cell r="K757">
            <v>46035</v>
          </cell>
        </row>
        <row r="758">
          <cell r="B758" t="str">
            <v>MAC_CoberturaIndoor2026_280</v>
          </cell>
          <cell r="C758" t="str">
            <v>PI_HospitalUniversitario</v>
          </cell>
          <cell r="D758" t="str">
            <v>Sin Cod</v>
          </cell>
          <cell r="E758" t="str">
            <v>COBERTURA INDOOR 2026</v>
          </cell>
          <cell r="F758" t="str">
            <v>Macros</v>
          </cell>
          <cell r="G758">
            <v>2026</v>
          </cell>
          <cell r="H758" t="str">
            <v>2Q</v>
          </cell>
          <cell r="I758" t="str">
            <v>Almendra Vásquez</v>
          </cell>
          <cell r="J758" t="str">
            <v>En Busqueda</v>
          </cell>
          <cell r="K758">
            <v>46035</v>
          </cell>
        </row>
        <row r="759">
          <cell r="B759" t="str">
            <v>MAC_CoberturaIndoor2026_281</v>
          </cell>
          <cell r="C759" t="str">
            <v>LimaMet_Centro_SuggestedNode_1</v>
          </cell>
          <cell r="D759" t="str">
            <v>Sin Cod</v>
          </cell>
          <cell r="E759" t="str">
            <v>COBERTURA INDOOR 2026</v>
          </cell>
          <cell r="F759" t="str">
            <v>Macros</v>
          </cell>
          <cell r="G759">
            <v>2026</v>
          </cell>
          <cell r="H759" t="str">
            <v>1 Q</v>
          </cell>
          <cell r="I759" t="str">
            <v>Almendra Vásquez</v>
          </cell>
          <cell r="J759" t="str">
            <v>En validación</v>
          </cell>
          <cell r="K759">
            <v>46035</v>
          </cell>
        </row>
        <row r="760">
          <cell r="B760" t="str">
            <v>MAC_CoberturaIndoor2026_282</v>
          </cell>
          <cell r="C760" t="str">
            <v>LimaMet_ChoSjm_SuggestedNode_51</v>
          </cell>
          <cell r="D760" t="str">
            <v>Sin Cod</v>
          </cell>
          <cell r="E760" t="str">
            <v>COBERTURA INDOOR 2026</v>
          </cell>
          <cell r="F760" t="str">
            <v>Macros</v>
          </cell>
          <cell r="G760">
            <v>2026</v>
          </cell>
          <cell r="H760" t="str">
            <v>2Q</v>
          </cell>
          <cell r="I760" t="str">
            <v>Almendra Vásquez</v>
          </cell>
          <cell r="J760" t="str">
            <v>En Busqueda</v>
          </cell>
          <cell r="K760">
            <v>46035</v>
          </cell>
        </row>
        <row r="761">
          <cell r="B761" t="str">
            <v>MAC_CoberturaIndoor2026_283</v>
          </cell>
          <cell r="C761" t="str">
            <v>LM_MacroFromPs_Comas_08</v>
          </cell>
          <cell r="D761" t="str">
            <v>Sin Cod</v>
          </cell>
          <cell r="E761" t="str">
            <v>COBERTURA INDOOR 2026</v>
          </cell>
          <cell r="F761" t="str">
            <v>Macros</v>
          </cell>
          <cell r="G761">
            <v>2026</v>
          </cell>
          <cell r="H761" t="str">
            <v>1 Q</v>
          </cell>
          <cell r="I761" t="str">
            <v>Almendra Vásquez</v>
          </cell>
          <cell r="J761" t="str">
            <v>En validación</v>
          </cell>
          <cell r="K761">
            <v>46035</v>
          </cell>
        </row>
        <row r="762">
          <cell r="B762" t="str">
            <v>MAC_CoberturaIndoor2026_284</v>
          </cell>
          <cell r="C762" t="str">
            <v>LimaMet_Comas_SuggestedNode_19</v>
          </cell>
          <cell r="D762" t="str">
            <v>Sin Cod</v>
          </cell>
          <cell r="E762" t="str">
            <v>COBERTURA INDOOR 2026</v>
          </cell>
          <cell r="F762" t="str">
            <v>Macros</v>
          </cell>
          <cell r="G762">
            <v>2026</v>
          </cell>
          <cell r="H762" t="str">
            <v>2Q</v>
          </cell>
          <cell r="I762" t="str">
            <v>Almendra Vásquez</v>
          </cell>
          <cell r="J762" t="str">
            <v>En Busqueda</v>
          </cell>
          <cell r="K762">
            <v>46035</v>
          </cell>
        </row>
        <row r="763">
          <cell r="B763" t="str">
            <v>MAC_CoberturaIndoor2026_285</v>
          </cell>
          <cell r="C763" t="str">
            <v>LimaMet_Centro_SuggestedNode_2</v>
          </cell>
          <cell r="D763" t="str">
            <v>Sin Cod</v>
          </cell>
          <cell r="E763" t="str">
            <v>COBERTURA INDOOR 2026</v>
          </cell>
          <cell r="F763" t="str">
            <v>Macros</v>
          </cell>
          <cell r="G763">
            <v>2026</v>
          </cell>
          <cell r="H763" t="str">
            <v>2Q</v>
          </cell>
          <cell r="I763" t="str">
            <v>Almendra Vásquez</v>
          </cell>
          <cell r="J763" t="str">
            <v>En Busqueda</v>
          </cell>
          <cell r="K763">
            <v>46035</v>
          </cell>
        </row>
        <row r="764">
          <cell r="B764" t="str">
            <v>MAC_CoberturaIndoor2026_286</v>
          </cell>
          <cell r="C764" t="str">
            <v>LM_Rimac_01</v>
          </cell>
          <cell r="D764" t="str">
            <v>Sin Cod</v>
          </cell>
          <cell r="E764" t="str">
            <v>COBERTURA INDOOR 2026</v>
          </cell>
          <cell r="F764" t="str">
            <v>Macros</v>
          </cell>
          <cell r="G764">
            <v>2026</v>
          </cell>
          <cell r="H764" t="str">
            <v>2Q</v>
          </cell>
          <cell r="I764" t="str">
            <v>Almendra Vásquez</v>
          </cell>
          <cell r="J764" t="str">
            <v>En validación</v>
          </cell>
          <cell r="K764">
            <v>46035</v>
          </cell>
        </row>
        <row r="765">
          <cell r="B765" t="str">
            <v>MAC_CoberturaIndoor2026_287</v>
          </cell>
          <cell r="C765" t="str">
            <v>LM_CasaDeGobierno</v>
          </cell>
          <cell r="D765" t="str">
            <v>Sin Cod</v>
          </cell>
          <cell r="E765" t="str">
            <v>COBERTURA INDOOR 2026</v>
          </cell>
          <cell r="F765" t="str">
            <v>Macros</v>
          </cell>
          <cell r="G765">
            <v>2026</v>
          </cell>
          <cell r="H765" t="str">
            <v>2Q</v>
          </cell>
          <cell r="I765" t="str">
            <v>Almendra Vásquez</v>
          </cell>
          <cell r="J765" t="str">
            <v>En Busqueda</v>
          </cell>
          <cell r="K765">
            <v>46035</v>
          </cell>
        </row>
        <row r="766">
          <cell r="B766" t="str">
            <v>MAC_CoberturaIndoor2026_288</v>
          </cell>
          <cell r="C766" t="str">
            <v>LM_Puente_Piedra_Manotas</v>
          </cell>
          <cell r="D766" t="str">
            <v>Sin Cod</v>
          </cell>
          <cell r="E766" t="str">
            <v>COBERTURA INDOOR 2026</v>
          </cell>
          <cell r="F766" t="str">
            <v>Macros</v>
          </cell>
          <cell r="G766">
            <v>2026</v>
          </cell>
          <cell r="H766" t="str">
            <v>1 Q</v>
          </cell>
          <cell r="I766" t="str">
            <v>Almendra Vásquez</v>
          </cell>
          <cell r="J766" t="str">
            <v>En Busqueda</v>
          </cell>
          <cell r="K766">
            <v>46035</v>
          </cell>
        </row>
        <row r="767">
          <cell r="B767" t="str">
            <v>MAC_CoberturaIndoor2026_289</v>
          </cell>
          <cell r="C767" t="str">
            <v>LM_Ugarriza</v>
          </cell>
          <cell r="D767" t="str">
            <v>Sin Cod</v>
          </cell>
          <cell r="E767" t="str">
            <v>COBERTURA INDOOR 2026</v>
          </cell>
          <cell r="F767" t="str">
            <v>Macros</v>
          </cell>
          <cell r="G767">
            <v>2026</v>
          </cell>
          <cell r="H767" t="str">
            <v>2Q</v>
          </cell>
          <cell r="I767" t="str">
            <v>Almendra Vásquez</v>
          </cell>
          <cell r="J767" t="str">
            <v>En Busqueda</v>
          </cell>
          <cell r="K767">
            <v>46035</v>
          </cell>
        </row>
        <row r="768">
          <cell r="B768" t="str">
            <v>MAC_CoberturaIndoor2026_290</v>
          </cell>
          <cell r="C768" t="str">
            <v>LimaMet_ChoSjm_SuggestedNode_85</v>
          </cell>
          <cell r="D768" t="str">
            <v>Sin Cod</v>
          </cell>
          <cell r="E768" t="str">
            <v>COBERTURA INDOOR 2026</v>
          </cell>
          <cell r="F768" t="str">
            <v>Macros</v>
          </cell>
          <cell r="G768">
            <v>2026</v>
          </cell>
          <cell r="H768" t="str">
            <v>1 Q</v>
          </cell>
          <cell r="I768" t="str">
            <v>Almendra Vásquez</v>
          </cell>
          <cell r="J768" t="str">
            <v>En validación</v>
          </cell>
          <cell r="K768">
            <v>46035</v>
          </cell>
        </row>
        <row r="769">
          <cell r="B769" t="str">
            <v>MAC_CoberturaIndoor2026_291</v>
          </cell>
          <cell r="C769" t="str">
            <v>LM_MacroFromPs_Rimac_04</v>
          </cell>
          <cell r="D769" t="str">
            <v>Sin Cod</v>
          </cell>
          <cell r="E769" t="str">
            <v>COBERTURA INDOOR 2026</v>
          </cell>
          <cell r="F769" t="str">
            <v>Macros</v>
          </cell>
          <cell r="G769">
            <v>2026</v>
          </cell>
          <cell r="H769" t="str">
            <v>1 Q</v>
          </cell>
          <cell r="I769" t="str">
            <v>Almendra Vásquez</v>
          </cell>
          <cell r="J769" t="str">
            <v>En validación</v>
          </cell>
          <cell r="K769">
            <v>46035</v>
          </cell>
        </row>
        <row r="770">
          <cell r="B770" t="str">
            <v>MAC_CoberturaIndoor2026_292</v>
          </cell>
          <cell r="C770" t="str">
            <v>AQ_PS_Jose_Luis_Bustamante_y_Rivero_02</v>
          </cell>
          <cell r="D770" t="str">
            <v>Sin Cod</v>
          </cell>
          <cell r="E770" t="str">
            <v>COBERTURA INDOOR 2026</v>
          </cell>
          <cell r="F770" t="str">
            <v>Macros</v>
          </cell>
          <cell r="G770">
            <v>2026</v>
          </cell>
          <cell r="H770" t="str">
            <v>2Q</v>
          </cell>
          <cell r="I770" t="str">
            <v>Almendra Vásquez</v>
          </cell>
          <cell r="J770" t="str">
            <v>En Busqueda</v>
          </cell>
          <cell r="K770">
            <v>46035</v>
          </cell>
        </row>
        <row r="771">
          <cell r="B771" t="str">
            <v>MAC_CoberturaIndoor2026_293</v>
          </cell>
          <cell r="C771" t="str">
            <v>LM_CuetoFernandini</v>
          </cell>
          <cell r="D771" t="str">
            <v>Sin Cod</v>
          </cell>
          <cell r="E771" t="str">
            <v>COBERTURA INDOOR 2026</v>
          </cell>
          <cell r="F771" t="str">
            <v>Macros</v>
          </cell>
          <cell r="G771">
            <v>2026</v>
          </cell>
          <cell r="H771" t="str">
            <v>1 Q</v>
          </cell>
          <cell r="I771" t="str">
            <v>Almendra Vásquez</v>
          </cell>
          <cell r="J771" t="str">
            <v>En validación</v>
          </cell>
          <cell r="K771">
            <v>46035</v>
          </cell>
        </row>
        <row r="772">
          <cell r="B772" t="str">
            <v>MAC_CoberturaIndoor2026_294</v>
          </cell>
          <cell r="C772" t="str">
            <v>LimaMet_Centro_SuggestedNode_64</v>
          </cell>
          <cell r="D772" t="str">
            <v>Sin Cod</v>
          </cell>
          <cell r="E772" t="str">
            <v>COBERTURA INDOOR 2026</v>
          </cell>
          <cell r="F772" t="str">
            <v>Macros</v>
          </cell>
          <cell r="G772">
            <v>2026</v>
          </cell>
          <cell r="H772" t="str">
            <v>2Q</v>
          </cell>
          <cell r="I772" t="str">
            <v>Almendra Vásquez</v>
          </cell>
          <cell r="J772" t="str">
            <v>En Busqueda</v>
          </cell>
          <cell r="K772">
            <v>46035</v>
          </cell>
        </row>
        <row r="773">
          <cell r="B773" t="str">
            <v>MAC_CoberturaIndoor2026_295</v>
          </cell>
          <cell r="C773" t="str">
            <v>LM_TecsupDeSantaAnita</v>
          </cell>
          <cell r="D773" t="str">
            <v>Sin Cod</v>
          </cell>
          <cell r="E773" t="str">
            <v>COBERTURA INDOOR 2026</v>
          </cell>
          <cell r="F773" t="str">
            <v>Macros</v>
          </cell>
          <cell r="G773">
            <v>2026</v>
          </cell>
          <cell r="H773" t="str">
            <v>2Q</v>
          </cell>
          <cell r="I773" t="str">
            <v>Almendra Vásquez</v>
          </cell>
          <cell r="J773" t="str">
            <v>En Busqueda</v>
          </cell>
          <cell r="K773">
            <v>46035</v>
          </cell>
        </row>
        <row r="774">
          <cell r="B774" t="str">
            <v>MAC_CoberturaIndoor2026_296</v>
          </cell>
          <cell r="C774" t="str">
            <v>LM_JuzgadoCivilDeAte</v>
          </cell>
          <cell r="D774" t="str">
            <v>Sin Cod</v>
          </cell>
          <cell r="E774" t="str">
            <v>COBERTURA INDOOR 2026</v>
          </cell>
          <cell r="F774" t="str">
            <v>Macros</v>
          </cell>
          <cell r="G774">
            <v>2026</v>
          </cell>
          <cell r="H774" t="str">
            <v>2Q</v>
          </cell>
          <cell r="I774" t="str">
            <v>Almendra Vásquez</v>
          </cell>
          <cell r="J774" t="str">
            <v>En Busqueda</v>
          </cell>
          <cell r="K774">
            <v>46035</v>
          </cell>
        </row>
        <row r="775">
          <cell r="B775" t="str">
            <v>MAC_CoberturaIndoor2026_297</v>
          </cell>
          <cell r="C775" t="str">
            <v>LimaMet_Callao_SuggestedNode_28</v>
          </cell>
          <cell r="D775" t="str">
            <v>Sin Cod</v>
          </cell>
          <cell r="E775" t="str">
            <v>COBERTURA INDOOR 2026</v>
          </cell>
          <cell r="F775" t="str">
            <v>Macros</v>
          </cell>
          <cell r="G775">
            <v>2026</v>
          </cell>
          <cell r="H775" t="str">
            <v>2Q</v>
          </cell>
          <cell r="I775" t="str">
            <v>Almendra Vásquez</v>
          </cell>
          <cell r="J775" t="str">
            <v>En Busqueda</v>
          </cell>
          <cell r="K775">
            <v>46035</v>
          </cell>
        </row>
        <row r="776">
          <cell r="B776" t="str">
            <v>MAC_CoberturaIndoor2026_298</v>
          </cell>
          <cell r="C776" t="str">
            <v>LimaMet_SmOlIn_SuggestedNode_24</v>
          </cell>
          <cell r="D776" t="str">
            <v>Sin Cod</v>
          </cell>
          <cell r="E776" t="str">
            <v>COBERTURA INDOOR 2026</v>
          </cell>
          <cell r="F776" t="str">
            <v>Macros</v>
          </cell>
          <cell r="G776">
            <v>2026</v>
          </cell>
          <cell r="H776" t="str">
            <v>2Q</v>
          </cell>
          <cell r="I776" t="str">
            <v>Almendra Vásquez</v>
          </cell>
          <cell r="J776" t="str">
            <v>En Busqueda</v>
          </cell>
          <cell r="K776">
            <v>46035</v>
          </cell>
        </row>
        <row r="777">
          <cell r="B777" t="str">
            <v>MAC_CoberturaIndoor2026_299</v>
          </cell>
          <cell r="C777" t="str">
            <v>TrujilloMet_SuggestedNode_2</v>
          </cell>
          <cell r="D777" t="str">
            <v>Sin Cod</v>
          </cell>
          <cell r="E777" t="str">
            <v>COBERTURA INDOOR 2026</v>
          </cell>
          <cell r="F777" t="str">
            <v>Macros</v>
          </cell>
          <cell r="G777">
            <v>2026</v>
          </cell>
          <cell r="H777" t="str">
            <v>2Q</v>
          </cell>
          <cell r="I777" t="str">
            <v>Almendra Vásquez</v>
          </cell>
          <cell r="J777" t="str">
            <v>En Busqueda</v>
          </cell>
          <cell r="K777">
            <v>46035</v>
          </cell>
        </row>
        <row r="778">
          <cell r="B778" t="str">
            <v>MAC_CoberturaIndoor2026_300</v>
          </cell>
          <cell r="C778" t="str">
            <v>TrujilloMet_SuggestedNode_21</v>
          </cell>
          <cell r="D778" t="str">
            <v>Sin Cod</v>
          </cell>
          <cell r="E778" t="str">
            <v>COBERTURA INDOOR 2026</v>
          </cell>
          <cell r="F778" t="str">
            <v>Macros</v>
          </cell>
          <cell r="G778">
            <v>2026</v>
          </cell>
          <cell r="H778" t="str">
            <v>2Q</v>
          </cell>
          <cell r="I778" t="str">
            <v>Almendra Vásquez</v>
          </cell>
          <cell r="J778" t="str">
            <v>En Busqueda</v>
          </cell>
          <cell r="K778">
            <v>46035</v>
          </cell>
        </row>
        <row r="779">
          <cell r="B779" t="str">
            <v>MAC_CoberturaIndoor2026_301</v>
          </cell>
          <cell r="C779" t="str">
            <v>LimaMet_SJL02_SuggestedNode_2</v>
          </cell>
          <cell r="D779" t="str">
            <v>Sin Cod</v>
          </cell>
          <cell r="E779" t="str">
            <v>COBERTURA INDOOR 2026</v>
          </cell>
          <cell r="F779" t="str">
            <v>Macros</v>
          </cell>
          <cell r="G779">
            <v>2026</v>
          </cell>
          <cell r="H779" t="str">
            <v>2Q</v>
          </cell>
          <cell r="I779" t="str">
            <v>Almendra Vásquez</v>
          </cell>
          <cell r="J779" t="str">
            <v>En Busqueda</v>
          </cell>
          <cell r="K779">
            <v>46035</v>
          </cell>
        </row>
        <row r="780">
          <cell r="B780" t="str">
            <v>MAC_CoberturaIndoor2026_302</v>
          </cell>
          <cell r="C780" t="str">
            <v>LimaMet_AguSanAniAte_SuggestedNode_7</v>
          </cell>
          <cell r="D780" t="str">
            <v>Sin Cod</v>
          </cell>
          <cell r="E780" t="str">
            <v>COBERTURA INDOOR 2026</v>
          </cell>
          <cell r="F780" t="str">
            <v>Macros</v>
          </cell>
          <cell r="G780">
            <v>2026</v>
          </cell>
          <cell r="H780" t="str">
            <v>1 Q</v>
          </cell>
          <cell r="I780" t="str">
            <v>Almendra Vásquez</v>
          </cell>
          <cell r="J780" t="str">
            <v>En validación</v>
          </cell>
          <cell r="K780">
            <v>46035</v>
          </cell>
        </row>
        <row r="781">
          <cell r="B781" t="str">
            <v>MAC_CoberturaIndoor2026_303</v>
          </cell>
          <cell r="C781" t="str">
            <v>LimaMet_Callao_SuggestedNode_60</v>
          </cell>
          <cell r="D781" t="str">
            <v>Sin Cod</v>
          </cell>
          <cell r="E781" t="str">
            <v>COBERTURA INDOOR 2026</v>
          </cell>
          <cell r="F781" t="str">
            <v>Macros</v>
          </cell>
          <cell r="G781">
            <v>2026</v>
          </cell>
          <cell r="H781" t="str">
            <v>2Q</v>
          </cell>
          <cell r="I781" t="str">
            <v>Almendra Vásquez</v>
          </cell>
          <cell r="J781" t="str">
            <v>En validación</v>
          </cell>
          <cell r="K781">
            <v>46035</v>
          </cell>
        </row>
        <row r="782">
          <cell r="B782" t="str">
            <v>MAC_CoberturaIndoor2026_304</v>
          </cell>
          <cell r="C782" t="str">
            <v>LM_Clorinda</v>
          </cell>
          <cell r="D782" t="str">
            <v>Sin Cod</v>
          </cell>
          <cell r="E782" t="str">
            <v>COBERTURA INDOOR 2026</v>
          </cell>
          <cell r="F782" t="str">
            <v>Macros</v>
          </cell>
          <cell r="G782">
            <v>2026</v>
          </cell>
          <cell r="H782" t="str">
            <v>2Q</v>
          </cell>
          <cell r="I782" t="str">
            <v>Almendra Vásquez</v>
          </cell>
          <cell r="J782" t="str">
            <v>En Busqueda</v>
          </cell>
          <cell r="K782">
            <v>46035</v>
          </cell>
        </row>
        <row r="783">
          <cell r="B783" t="str">
            <v>MAC_CoberturaIndoor2026_305</v>
          </cell>
          <cell r="C783" t="str">
            <v>LimaMet_Callao_SuggestedNode_37</v>
          </cell>
          <cell r="D783" t="str">
            <v>Sin Cod</v>
          </cell>
          <cell r="E783" t="str">
            <v>COBERTURA INDOOR 2026</v>
          </cell>
          <cell r="F783" t="str">
            <v>Macros</v>
          </cell>
          <cell r="G783">
            <v>2026</v>
          </cell>
          <cell r="H783" t="str">
            <v>2Q</v>
          </cell>
          <cell r="I783" t="str">
            <v>Almendra Vásquez</v>
          </cell>
          <cell r="J783" t="str">
            <v>En validación</v>
          </cell>
          <cell r="K783">
            <v>46035</v>
          </cell>
        </row>
        <row r="784">
          <cell r="B784" t="str">
            <v>MAC_CoberturaIndoor2026_306</v>
          </cell>
          <cell r="C784" t="str">
            <v>LimaMet_SmOlIn_SuggestedNode_34</v>
          </cell>
          <cell r="D784" t="str">
            <v>Sin Cod</v>
          </cell>
          <cell r="E784" t="str">
            <v>COBERTURA INDOOR 2026</v>
          </cell>
          <cell r="F784" t="str">
            <v>Macros</v>
          </cell>
          <cell r="G784">
            <v>2026</v>
          </cell>
          <cell r="H784" t="str">
            <v>1 Q</v>
          </cell>
          <cell r="I784" t="str">
            <v>Almendra Vásquez</v>
          </cell>
          <cell r="J784" t="str">
            <v>En validación</v>
          </cell>
          <cell r="K784">
            <v>46035</v>
          </cell>
        </row>
        <row r="785">
          <cell r="B785" t="str">
            <v>MAC_CoberturaIndoor2026_307</v>
          </cell>
          <cell r="C785" t="str">
            <v>LimaMet_Comas_SuggestedNode_33</v>
          </cell>
          <cell r="D785" t="str">
            <v>Sin Cod</v>
          </cell>
          <cell r="E785" t="str">
            <v>COBERTURA INDOOR 2026</v>
          </cell>
          <cell r="F785" t="str">
            <v>Macros</v>
          </cell>
          <cell r="G785">
            <v>2026</v>
          </cell>
          <cell r="H785" t="str">
            <v>2Q</v>
          </cell>
          <cell r="I785" t="str">
            <v>Almendra Vásquez</v>
          </cell>
          <cell r="J785" t="str">
            <v>En validación</v>
          </cell>
          <cell r="K785">
            <v>46035</v>
          </cell>
        </row>
        <row r="786">
          <cell r="B786" t="str">
            <v>MAC_CoberturaIndoor2026_308</v>
          </cell>
          <cell r="C786" t="str">
            <v>ArequipaMetSur01_SuggestedNode_102</v>
          </cell>
          <cell r="D786" t="str">
            <v>Sin Cod</v>
          </cell>
          <cell r="E786" t="str">
            <v>COBERTURA INDOOR 2026</v>
          </cell>
          <cell r="F786" t="str">
            <v>Macros</v>
          </cell>
          <cell r="G786">
            <v>2026</v>
          </cell>
          <cell r="H786" t="str">
            <v>2Q</v>
          </cell>
          <cell r="I786" t="str">
            <v>Almendra Vásquez</v>
          </cell>
          <cell r="J786" t="str">
            <v>En Busqueda</v>
          </cell>
          <cell r="K786">
            <v>46035</v>
          </cell>
        </row>
        <row r="787">
          <cell r="B787" t="str">
            <v>MAC_CoberturaIndoor2026_309</v>
          </cell>
          <cell r="C787" t="str">
            <v>LM_LasAcacias</v>
          </cell>
          <cell r="D787" t="str">
            <v>Sin Cod</v>
          </cell>
          <cell r="E787" t="str">
            <v>COBERTURA INDOOR 2026</v>
          </cell>
          <cell r="F787" t="str">
            <v>Macros</v>
          </cell>
          <cell r="G787">
            <v>2026</v>
          </cell>
          <cell r="H787" t="str">
            <v>2Q</v>
          </cell>
          <cell r="I787" t="str">
            <v>Almendra Vásquez</v>
          </cell>
          <cell r="J787" t="str">
            <v>En Busqueda</v>
          </cell>
          <cell r="K787">
            <v>46035</v>
          </cell>
        </row>
        <row r="788">
          <cell r="B788" t="str">
            <v>MAC_CoberturaIndoor2026_310</v>
          </cell>
          <cell r="C788" t="str">
            <v>LimaMet_Callao_SuggestedNode_78</v>
          </cell>
          <cell r="D788" t="str">
            <v>Sin Cod</v>
          </cell>
          <cell r="E788" t="str">
            <v>COBERTURA INDOOR 2026</v>
          </cell>
          <cell r="F788" t="str">
            <v>Macros</v>
          </cell>
          <cell r="G788">
            <v>2026</v>
          </cell>
          <cell r="H788" t="str">
            <v>2Q</v>
          </cell>
          <cell r="I788" t="str">
            <v>Almendra Vásquez</v>
          </cell>
          <cell r="J788" t="str">
            <v>En validación</v>
          </cell>
          <cell r="K788">
            <v>46035</v>
          </cell>
        </row>
        <row r="789">
          <cell r="B789" t="str">
            <v>MAC_CoberturaIndoor2026_311</v>
          </cell>
          <cell r="C789" t="str">
            <v>LM_Vulcano</v>
          </cell>
          <cell r="D789" t="str">
            <v>Sin Cod</v>
          </cell>
          <cell r="E789" t="str">
            <v>COBERTURA INDOOR 2026</v>
          </cell>
          <cell r="F789" t="str">
            <v>Macros</v>
          </cell>
          <cell r="G789">
            <v>2026</v>
          </cell>
          <cell r="H789" t="str">
            <v>1 Q</v>
          </cell>
          <cell r="I789" t="str">
            <v>Almendra Vásquez</v>
          </cell>
          <cell r="J789" t="str">
            <v>En Busqueda</v>
          </cell>
          <cell r="K789">
            <v>46035</v>
          </cell>
        </row>
        <row r="790">
          <cell r="B790" t="str">
            <v>MAC_CoberturaIndoor2026_312</v>
          </cell>
          <cell r="C790" t="str">
            <v>LM_Recuerdos</v>
          </cell>
          <cell r="D790" t="str">
            <v>Sin Cod</v>
          </cell>
          <cell r="E790" t="str">
            <v>COBERTURA INDOOR 2026</v>
          </cell>
          <cell r="F790" t="str">
            <v>Macros</v>
          </cell>
          <cell r="G790">
            <v>2026</v>
          </cell>
          <cell r="H790" t="str">
            <v>2Q</v>
          </cell>
          <cell r="I790" t="str">
            <v>Almendra Vásquez</v>
          </cell>
          <cell r="J790" t="str">
            <v>En Busqueda</v>
          </cell>
          <cell r="K790">
            <v>46035</v>
          </cell>
        </row>
        <row r="791">
          <cell r="B791" t="str">
            <v>MAC_CoberturaIndoor2026_313</v>
          </cell>
          <cell r="C791" t="str">
            <v>LimaMet_Comas_SuggestedNode_24</v>
          </cell>
          <cell r="D791" t="str">
            <v>Sin Cod</v>
          </cell>
          <cell r="E791" t="str">
            <v>COBERTURA INDOOR 2026</v>
          </cell>
          <cell r="F791" t="str">
            <v>Macros</v>
          </cell>
          <cell r="G791">
            <v>2026</v>
          </cell>
          <cell r="H791" t="str">
            <v>2Q</v>
          </cell>
          <cell r="I791" t="str">
            <v>Almendra Vásquez</v>
          </cell>
          <cell r="J791" t="str">
            <v>En Busqueda</v>
          </cell>
          <cell r="K791">
            <v>46035</v>
          </cell>
        </row>
        <row r="792">
          <cell r="B792" t="str">
            <v>MAC_CoberturaIndoor2026_314</v>
          </cell>
          <cell r="C792" t="str">
            <v>LimaMet_AguSanAniAte_SuggestedNode_12</v>
          </cell>
          <cell r="D792" t="str">
            <v>Sin Cod</v>
          </cell>
          <cell r="E792" t="str">
            <v>COBERTURA INDOOR 2026</v>
          </cell>
          <cell r="F792" t="str">
            <v>Macros</v>
          </cell>
          <cell r="G792">
            <v>2026</v>
          </cell>
          <cell r="H792" t="str">
            <v>1 Q</v>
          </cell>
          <cell r="I792" t="str">
            <v>Almendra Vásquez</v>
          </cell>
          <cell r="J792" t="str">
            <v>En validación</v>
          </cell>
          <cell r="K792">
            <v>46035</v>
          </cell>
        </row>
        <row r="793">
          <cell r="B793" t="str">
            <v>MAC_CoberturaIndoor2026_315</v>
          </cell>
          <cell r="C793" t="str">
            <v>LM_Ceramicas</v>
          </cell>
          <cell r="D793" t="str">
            <v>Sin Cod</v>
          </cell>
          <cell r="E793" t="str">
            <v>COBERTURA INDOOR 2026</v>
          </cell>
          <cell r="F793" t="str">
            <v>Macros</v>
          </cell>
          <cell r="G793">
            <v>2026</v>
          </cell>
          <cell r="H793" t="str">
            <v>2Q</v>
          </cell>
          <cell r="I793" t="str">
            <v>Almendra Vásquez</v>
          </cell>
          <cell r="J793" t="str">
            <v>En validación</v>
          </cell>
          <cell r="K793">
            <v>46035</v>
          </cell>
        </row>
        <row r="794">
          <cell r="B794" t="str">
            <v>MAC_CoberturaIndoor2026_316</v>
          </cell>
          <cell r="C794" t="str">
            <v>AQ_Alto_Selva_Alegre_02</v>
          </cell>
          <cell r="D794" t="str">
            <v>Sin Cod</v>
          </cell>
          <cell r="E794" t="str">
            <v>COBERTURA INDOOR 2026</v>
          </cell>
          <cell r="F794" t="str">
            <v>Macros</v>
          </cell>
          <cell r="G794">
            <v>2026</v>
          </cell>
          <cell r="H794" t="str">
            <v>2Q</v>
          </cell>
          <cell r="I794" t="str">
            <v>Almendra Vásquez</v>
          </cell>
          <cell r="J794" t="str">
            <v>En Busqueda</v>
          </cell>
          <cell r="K794">
            <v>46035</v>
          </cell>
        </row>
        <row r="795">
          <cell r="B795" t="str">
            <v>MAC_CoberturaIndoor2026_317</v>
          </cell>
          <cell r="C795" t="str">
            <v>LimaMet_Comas_SuggestedNode_15</v>
          </cell>
          <cell r="D795" t="str">
            <v>Sin Cod</v>
          </cell>
          <cell r="E795" t="str">
            <v>COBERTURA INDOOR 2026</v>
          </cell>
          <cell r="F795" t="str">
            <v>Macros</v>
          </cell>
          <cell r="G795">
            <v>2026</v>
          </cell>
          <cell r="H795" t="str">
            <v>2Q</v>
          </cell>
          <cell r="I795" t="str">
            <v>Almendra Vásquez</v>
          </cell>
          <cell r="J795" t="str">
            <v>En Busqueda</v>
          </cell>
          <cell r="K795">
            <v>46035</v>
          </cell>
        </row>
        <row r="796">
          <cell r="B796" t="str">
            <v>MAC_CoberturaIndoor2026_318</v>
          </cell>
          <cell r="C796" t="str">
            <v>LM_EndoSalud</v>
          </cell>
          <cell r="D796" t="str">
            <v>Sin Cod</v>
          </cell>
          <cell r="E796" t="str">
            <v>COBERTURA INDOOR 2026</v>
          </cell>
          <cell r="F796" t="str">
            <v>Macros</v>
          </cell>
          <cell r="G796">
            <v>2026</v>
          </cell>
          <cell r="H796" t="str">
            <v>1 Q</v>
          </cell>
          <cell r="I796" t="str">
            <v>Almendra Vásquez</v>
          </cell>
          <cell r="J796" t="str">
            <v>En validación</v>
          </cell>
          <cell r="K796">
            <v>46035</v>
          </cell>
        </row>
        <row r="797">
          <cell r="B797" t="str">
            <v>MAC_CoberturaIndoor2026_319</v>
          </cell>
          <cell r="C797" t="str">
            <v>LM_AlmacenAlmusa</v>
          </cell>
          <cell r="D797" t="str">
            <v>Sin Cod</v>
          </cell>
          <cell r="E797" t="str">
            <v>COBERTURA INDOOR 2026</v>
          </cell>
          <cell r="F797" t="str">
            <v>Macros</v>
          </cell>
          <cell r="G797">
            <v>2026</v>
          </cell>
          <cell r="H797" t="str">
            <v>2Q</v>
          </cell>
          <cell r="I797" t="str">
            <v>Almendra Vásquez</v>
          </cell>
          <cell r="J797" t="str">
            <v>En Busqueda</v>
          </cell>
          <cell r="K797">
            <v>46035</v>
          </cell>
        </row>
        <row r="798">
          <cell r="B798" t="str">
            <v>MAC_CoberturaIndoor2026_320</v>
          </cell>
          <cell r="C798" t="str">
            <v>LI_ObispoCabrera</v>
          </cell>
          <cell r="D798" t="str">
            <v>Sin Cod</v>
          </cell>
          <cell r="E798" t="str">
            <v>COBERTURA INDOOR 2026</v>
          </cell>
          <cell r="F798" t="str">
            <v>Macros</v>
          </cell>
          <cell r="G798">
            <v>2026</v>
          </cell>
          <cell r="H798" t="str">
            <v>1 Q</v>
          </cell>
          <cell r="I798" t="str">
            <v>Almendra Vásquez</v>
          </cell>
          <cell r="J798" t="str">
            <v>En validación</v>
          </cell>
          <cell r="K798">
            <v>46035</v>
          </cell>
        </row>
        <row r="799">
          <cell r="B799" t="str">
            <v>MAC_CoberturaIndoor2026_321</v>
          </cell>
          <cell r="C799" t="str">
            <v>LimaMet_SmOlIn_SuggestedNode_20</v>
          </cell>
          <cell r="D799" t="str">
            <v>Sin Cod</v>
          </cell>
          <cell r="E799" t="str">
            <v>COBERTURA INDOOR 2026</v>
          </cell>
          <cell r="F799" t="str">
            <v>Macros</v>
          </cell>
          <cell r="G799">
            <v>2026</v>
          </cell>
          <cell r="H799" t="str">
            <v>2Q</v>
          </cell>
          <cell r="I799" t="str">
            <v>Almendra Vásquez</v>
          </cell>
          <cell r="J799" t="str">
            <v>En Busqueda</v>
          </cell>
          <cell r="K799">
            <v>46035</v>
          </cell>
        </row>
        <row r="800">
          <cell r="B800" t="str">
            <v>MAC_CoberturaIndoor2026_322</v>
          </cell>
          <cell r="C800" t="str">
            <v>LimaMet_ChoSjm_SuggestedNode_82</v>
          </cell>
          <cell r="D800" t="str">
            <v>Sin Cod</v>
          </cell>
          <cell r="E800" t="str">
            <v>COBERTURA INDOOR 2026</v>
          </cell>
          <cell r="F800" t="str">
            <v>Macros</v>
          </cell>
          <cell r="G800">
            <v>2026</v>
          </cell>
          <cell r="H800" t="str">
            <v>2Q</v>
          </cell>
          <cell r="I800" t="str">
            <v>Almendra Vásquez</v>
          </cell>
          <cell r="J800" t="str">
            <v>En Busqueda</v>
          </cell>
          <cell r="K800">
            <v>46035</v>
          </cell>
        </row>
        <row r="801">
          <cell r="B801" t="str">
            <v>MAC_CoberturaIndoor2026_323</v>
          </cell>
          <cell r="C801" t="str">
            <v>LimaMet_ChoSjm_SuggestedNode_68</v>
          </cell>
          <cell r="D801" t="str">
            <v>Sin Cod</v>
          </cell>
          <cell r="E801" t="str">
            <v>COBERTURA INDOOR 2026</v>
          </cell>
          <cell r="F801" t="str">
            <v>Macros</v>
          </cell>
          <cell r="G801">
            <v>2026</v>
          </cell>
          <cell r="H801" t="str">
            <v>2Q</v>
          </cell>
          <cell r="I801" t="str">
            <v>Almendra Vásquez</v>
          </cell>
          <cell r="J801" t="str">
            <v>En Busqueda</v>
          </cell>
          <cell r="K801">
            <v>46035</v>
          </cell>
        </row>
        <row r="802">
          <cell r="B802" t="str">
            <v>MAC_CoberturaIndoor2026_324</v>
          </cell>
          <cell r="C802" t="str">
            <v>ArequipaMetSur01_SuggestedNode_99</v>
          </cell>
          <cell r="D802" t="str">
            <v>Sin Cod</v>
          </cell>
          <cell r="E802" t="str">
            <v>COBERTURA INDOOR 2026</v>
          </cell>
          <cell r="F802" t="str">
            <v>Macros</v>
          </cell>
          <cell r="G802">
            <v>2026</v>
          </cell>
          <cell r="H802" t="str">
            <v>2Q</v>
          </cell>
          <cell r="I802" t="str">
            <v>Almendra Vásquez</v>
          </cell>
          <cell r="J802" t="str">
            <v>En validación</v>
          </cell>
          <cell r="K802">
            <v>46035</v>
          </cell>
        </row>
        <row r="803">
          <cell r="B803" t="str">
            <v>MAC_CoberturaIndoor2026_325</v>
          </cell>
          <cell r="C803" t="str">
            <v>LM_Alfa</v>
          </cell>
          <cell r="D803" t="str">
            <v>Sin Cod</v>
          </cell>
          <cell r="E803" t="str">
            <v>COBERTURA INDOOR 2026</v>
          </cell>
          <cell r="F803" t="str">
            <v>Macros</v>
          </cell>
          <cell r="G803">
            <v>2026</v>
          </cell>
          <cell r="H803" t="str">
            <v>2Q</v>
          </cell>
          <cell r="I803" t="str">
            <v>Almendra Vásquez</v>
          </cell>
          <cell r="J803" t="str">
            <v>En Busqueda</v>
          </cell>
          <cell r="K803">
            <v>46035</v>
          </cell>
        </row>
        <row r="804">
          <cell r="B804" t="str">
            <v>MAC_CoberturaIndoor2026_326</v>
          </cell>
          <cell r="C804" t="str">
            <v>LM_MacroFromPs_Chorrillos_01</v>
          </cell>
          <cell r="D804" t="str">
            <v>Sin Cod</v>
          </cell>
          <cell r="E804" t="str">
            <v>COBERTURA INDOOR 2026</v>
          </cell>
          <cell r="F804" t="str">
            <v>Macros</v>
          </cell>
          <cell r="G804">
            <v>2026</v>
          </cell>
          <cell r="H804" t="str">
            <v>2Q</v>
          </cell>
          <cell r="I804" t="str">
            <v>Almendra Vásquez</v>
          </cell>
          <cell r="J804" t="str">
            <v>En Busqueda</v>
          </cell>
          <cell r="K804">
            <v>46035</v>
          </cell>
        </row>
        <row r="805">
          <cell r="B805" t="str">
            <v>MAC_CoberturaIndoor2026_327</v>
          </cell>
          <cell r="C805" t="str">
            <v>AN_AvDoblePista</v>
          </cell>
          <cell r="D805" t="str">
            <v>Sin Cod</v>
          </cell>
          <cell r="E805" t="str">
            <v>COBERTURA INDOOR 2026</v>
          </cell>
          <cell r="F805" t="str">
            <v>Macros</v>
          </cell>
          <cell r="G805">
            <v>2026</v>
          </cell>
          <cell r="H805" t="str">
            <v>2Q</v>
          </cell>
          <cell r="I805" t="str">
            <v>Almendra Vásquez</v>
          </cell>
          <cell r="J805" t="str">
            <v>En Busqueda</v>
          </cell>
          <cell r="K805">
            <v>46035</v>
          </cell>
        </row>
        <row r="806">
          <cell r="B806" t="str">
            <v>MAC_CoberturaIndoor2026_328</v>
          </cell>
          <cell r="C806" t="str">
            <v>LM_Tabacales</v>
          </cell>
          <cell r="D806" t="str">
            <v>Sin Cod</v>
          </cell>
          <cell r="E806" t="str">
            <v>COBERTURA INDOOR 2026</v>
          </cell>
          <cell r="F806" t="str">
            <v>Macros</v>
          </cell>
          <cell r="G806">
            <v>2026</v>
          </cell>
          <cell r="H806" t="str">
            <v>1 Q</v>
          </cell>
          <cell r="I806" t="str">
            <v>Almendra Vásquez</v>
          </cell>
          <cell r="J806" t="str">
            <v>En validación</v>
          </cell>
          <cell r="K806">
            <v>46035</v>
          </cell>
        </row>
        <row r="807">
          <cell r="B807" t="str">
            <v>MAC_CoberturaIndoor2026_329</v>
          </cell>
          <cell r="C807" t="str">
            <v>LimaMet_SJL02_SuggestedNode_43</v>
          </cell>
          <cell r="D807" t="str">
            <v>Sin Cod</v>
          </cell>
          <cell r="E807" t="str">
            <v>COBERTURA INDOOR 2026</v>
          </cell>
          <cell r="F807" t="str">
            <v>Macros</v>
          </cell>
          <cell r="G807">
            <v>2026</v>
          </cell>
          <cell r="H807" t="str">
            <v>2Q</v>
          </cell>
          <cell r="I807" t="str">
            <v>Almendra Vásquez</v>
          </cell>
          <cell r="J807" t="str">
            <v>En validación</v>
          </cell>
          <cell r="K807">
            <v>46035</v>
          </cell>
        </row>
        <row r="808">
          <cell r="B808" t="str">
            <v>MAC_CoberturaIndoor2026_330</v>
          </cell>
          <cell r="C808" t="str">
            <v>LI_LasGemas</v>
          </cell>
          <cell r="D808" t="str">
            <v>Sin Cod</v>
          </cell>
          <cell r="E808" t="str">
            <v>COBERTURA INDOOR 2026</v>
          </cell>
          <cell r="F808" t="str">
            <v>Macros</v>
          </cell>
          <cell r="G808">
            <v>2026</v>
          </cell>
          <cell r="H808" t="str">
            <v>2Q</v>
          </cell>
          <cell r="I808" t="str">
            <v>Almendra Vásquez</v>
          </cell>
          <cell r="J808" t="str">
            <v>En Busqueda</v>
          </cell>
          <cell r="K808">
            <v>46035</v>
          </cell>
        </row>
        <row r="809">
          <cell r="B809" t="str">
            <v>MAC_CoberturaIndoor2026_331</v>
          </cell>
          <cell r="C809" t="str">
            <v>LimaMet_SmOlIn_SuggestedNode_92</v>
          </cell>
          <cell r="D809" t="str">
            <v>Sin Cod</v>
          </cell>
          <cell r="E809" t="str">
            <v>COBERTURA INDOOR 2026</v>
          </cell>
          <cell r="F809" t="str">
            <v>Macros</v>
          </cell>
          <cell r="G809">
            <v>2026</v>
          </cell>
          <cell r="H809" t="str">
            <v>2Q</v>
          </cell>
          <cell r="I809" t="str">
            <v>Almendra Vásquez</v>
          </cell>
          <cell r="J809" t="str">
            <v>En Busqueda</v>
          </cell>
          <cell r="K809">
            <v>46035</v>
          </cell>
        </row>
        <row r="810">
          <cell r="B810" t="str">
            <v>MAC_CoberturaIndoor2026_332</v>
          </cell>
          <cell r="C810" t="str">
            <v>LimaMet_SJL01_SuggestedNode_95</v>
          </cell>
          <cell r="D810" t="str">
            <v>Sin Cod</v>
          </cell>
          <cell r="E810" t="str">
            <v>COBERTURA INDOOR 2026</v>
          </cell>
          <cell r="F810" t="str">
            <v>Macros</v>
          </cell>
          <cell r="G810">
            <v>2026</v>
          </cell>
          <cell r="H810" t="str">
            <v>2Q</v>
          </cell>
          <cell r="I810" t="str">
            <v>Almendra Vásquez</v>
          </cell>
          <cell r="J810" t="str">
            <v>En Busqueda</v>
          </cell>
          <cell r="K810">
            <v>46035</v>
          </cell>
        </row>
        <row r="811">
          <cell r="B811" t="str">
            <v>MAC_CoberturaIndoor2026_333</v>
          </cell>
          <cell r="C811" t="str">
            <v>TrujilloMet_SuggestedNode_45</v>
          </cell>
          <cell r="D811" t="str">
            <v>Sin Cod</v>
          </cell>
          <cell r="E811" t="str">
            <v>COBERTURA INDOOR 2026</v>
          </cell>
          <cell r="F811" t="str">
            <v>Macros</v>
          </cell>
          <cell r="G811">
            <v>2026</v>
          </cell>
          <cell r="H811" t="str">
            <v>1 Q</v>
          </cell>
          <cell r="I811" t="str">
            <v>Almendra Vásquez</v>
          </cell>
          <cell r="J811" t="str">
            <v>En Busqueda</v>
          </cell>
          <cell r="K811">
            <v>46035</v>
          </cell>
        </row>
        <row r="812">
          <cell r="B812" t="str">
            <v>MAC_CoberturaIndoor2026_334</v>
          </cell>
          <cell r="C812" t="str">
            <v>LimaMet_Sur01_SuggestedNode_81</v>
          </cell>
          <cell r="D812" t="str">
            <v>Sin Cod</v>
          </cell>
          <cell r="E812" t="str">
            <v>COBERTURA INDOOR 2026</v>
          </cell>
          <cell r="F812" t="str">
            <v>Macros</v>
          </cell>
          <cell r="G812">
            <v>2026</v>
          </cell>
          <cell r="H812" t="str">
            <v>2Q</v>
          </cell>
          <cell r="I812" t="str">
            <v>Almendra Vásquez</v>
          </cell>
          <cell r="J812" t="str">
            <v>En validación</v>
          </cell>
          <cell r="K812">
            <v>46035</v>
          </cell>
        </row>
        <row r="813">
          <cell r="B813" t="str">
            <v>MAC_CoberturaIndoor2026_335</v>
          </cell>
          <cell r="C813" t="str">
            <v>LI_Eikan</v>
          </cell>
          <cell r="D813" t="str">
            <v>Sin Cod</v>
          </cell>
          <cell r="E813" t="str">
            <v>COBERTURA INDOOR 2026</v>
          </cell>
          <cell r="F813" t="str">
            <v>Macros</v>
          </cell>
          <cell r="G813">
            <v>2026</v>
          </cell>
          <cell r="H813" t="str">
            <v>2Q</v>
          </cell>
          <cell r="I813" t="str">
            <v>Almendra Vásquez</v>
          </cell>
          <cell r="J813" t="str">
            <v>En Busqueda</v>
          </cell>
          <cell r="K813">
            <v>46035</v>
          </cell>
        </row>
        <row r="814">
          <cell r="B814" t="str">
            <v>MAC_CoberturaIndoor2026_336</v>
          </cell>
          <cell r="C814" t="str">
            <v>LM_SJM_02</v>
          </cell>
          <cell r="D814" t="str">
            <v>Sin Cod</v>
          </cell>
          <cell r="E814" t="str">
            <v>COBERTURA INDOOR 2026</v>
          </cell>
          <cell r="F814" t="str">
            <v>Macros</v>
          </cell>
          <cell r="G814">
            <v>2026</v>
          </cell>
          <cell r="H814" t="str">
            <v>1 Q</v>
          </cell>
          <cell r="I814" t="str">
            <v>Almendra Vásquez</v>
          </cell>
          <cell r="J814" t="str">
            <v>En validación</v>
          </cell>
          <cell r="K814">
            <v>46035</v>
          </cell>
        </row>
        <row r="815">
          <cell r="B815" t="str">
            <v>MAC_CoberturaIndoor2026_337</v>
          </cell>
          <cell r="C815" t="str">
            <v>LimaMet_AguSanAniAte_SuggestedNode_59</v>
          </cell>
          <cell r="D815" t="str">
            <v>Sin Cod</v>
          </cell>
          <cell r="E815" t="str">
            <v>COBERTURA INDOOR 2026</v>
          </cell>
          <cell r="F815" t="str">
            <v>Macros</v>
          </cell>
          <cell r="G815">
            <v>2026</v>
          </cell>
          <cell r="H815" t="str">
            <v>2Q</v>
          </cell>
          <cell r="I815" t="str">
            <v>Almendra Vásquez</v>
          </cell>
          <cell r="J815" t="str">
            <v>En Busqueda</v>
          </cell>
          <cell r="K815">
            <v>46035</v>
          </cell>
        </row>
        <row r="816">
          <cell r="B816" t="str">
            <v>MAC_CoberturaIndoor2026_338</v>
          </cell>
          <cell r="C816" t="str">
            <v>LM_Calichera</v>
          </cell>
          <cell r="D816" t="str">
            <v>Sin Cod</v>
          </cell>
          <cell r="E816" t="str">
            <v>COBERTURA INDOOR 2026</v>
          </cell>
          <cell r="F816" t="str">
            <v>Macros</v>
          </cell>
          <cell r="G816">
            <v>2026</v>
          </cell>
          <cell r="H816" t="str">
            <v>1 Q</v>
          </cell>
          <cell r="I816" t="str">
            <v>Almendra Vásquez</v>
          </cell>
          <cell r="J816" t="str">
            <v>En validación</v>
          </cell>
          <cell r="K816">
            <v>46035</v>
          </cell>
        </row>
        <row r="817">
          <cell r="B817" t="str">
            <v>MAC_CoberturaIndoor2026_339</v>
          </cell>
          <cell r="C817" t="str">
            <v>LimaMet_Callao_SuggestedNode_118</v>
          </cell>
          <cell r="D817" t="str">
            <v>Sin Cod</v>
          </cell>
          <cell r="E817" t="str">
            <v>COBERTURA INDOOR 2026</v>
          </cell>
          <cell r="F817" t="str">
            <v>Macros</v>
          </cell>
          <cell r="G817">
            <v>2026</v>
          </cell>
          <cell r="H817" t="str">
            <v>1 Q</v>
          </cell>
          <cell r="I817" t="str">
            <v>Almendra Vásquez</v>
          </cell>
          <cell r="J817" t="str">
            <v>En saneamiento</v>
          </cell>
          <cell r="K817">
            <v>46035</v>
          </cell>
        </row>
        <row r="818">
          <cell r="B818" t="str">
            <v>MAC_CoberturaIndoor2026_340</v>
          </cell>
          <cell r="C818" t="str">
            <v>LimaMet_Comas_SuggestedNode_5</v>
          </cell>
          <cell r="D818" t="str">
            <v>Sin Cod</v>
          </cell>
          <cell r="E818" t="str">
            <v>COBERTURA INDOOR 2026</v>
          </cell>
          <cell r="F818" t="str">
            <v>Macros</v>
          </cell>
          <cell r="G818">
            <v>2026</v>
          </cell>
          <cell r="H818" t="str">
            <v>2Q</v>
          </cell>
          <cell r="I818" t="str">
            <v>Almendra Vásquez</v>
          </cell>
          <cell r="J818" t="str">
            <v>En Busqueda</v>
          </cell>
          <cell r="K818">
            <v>46035</v>
          </cell>
        </row>
        <row r="819">
          <cell r="B819" t="str">
            <v>MAC_CoberturaIndoor2026_341</v>
          </cell>
          <cell r="C819" t="str">
            <v>JU_LasCimas</v>
          </cell>
          <cell r="D819" t="str">
            <v>Sin Cod</v>
          </cell>
          <cell r="E819" t="str">
            <v>COBERTURA INDOOR 2026</v>
          </cell>
          <cell r="F819" t="str">
            <v>Macros</v>
          </cell>
          <cell r="G819">
            <v>2026</v>
          </cell>
          <cell r="H819" t="str">
            <v>2Q</v>
          </cell>
          <cell r="I819" t="str">
            <v>Almendra Vásquez</v>
          </cell>
          <cell r="J819" t="str">
            <v>En validación</v>
          </cell>
          <cell r="K819">
            <v>46035</v>
          </cell>
        </row>
        <row r="820">
          <cell r="B820" t="str">
            <v>MAC_CoberturaIndoor2026_342</v>
          </cell>
          <cell r="C820" t="str">
            <v>LimaMet_SmOlIn_SuggestedNode_90</v>
          </cell>
          <cell r="D820" t="str">
            <v>Sin Cod</v>
          </cell>
          <cell r="E820" t="str">
            <v>COBERTURA INDOOR 2026</v>
          </cell>
          <cell r="F820" t="str">
            <v>Macros</v>
          </cell>
          <cell r="G820">
            <v>2026</v>
          </cell>
          <cell r="H820" t="str">
            <v>2Q</v>
          </cell>
          <cell r="I820" t="str">
            <v>Almendra Vásquez</v>
          </cell>
          <cell r="J820" t="str">
            <v>En validación</v>
          </cell>
          <cell r="K820">
            <v>46035</v>
          </cell>
        </row>
        <row r="821">
          <cell r="B821" t="str">
            <v>MAC_CoberturaIndoor2026_343</v>
          </cell>
          <cell r="C821" t="str">
            <v>LimaMet_Sur01_SuggestedNode_19</v>
          </cell>
          <cell r="D821" t="str">
            <v>Sin Cod</v>
          </cell>
          <cell r="E821" t="str">
            <v>COBERTURA INDOOR 2026</v>
          </cell>
          <cell r="F821" t="str">
            <v>Macros</v>
          </cell>
          <cell r="G821">
            <v>2026</v>
          </cell>
          <cell r="H821" t="str">
            <v>2Q</v>
          </cell>
          <cell r="I821" t="str">
            <v>Almendra Vásquez</v>
          </cell>
          <cell r="J821" t="str">
            <v>En validación</v>
          </cell>
          <cell r="K821">
            <v>46035</v>
          </cell>
        </row>
        <row r="822">
          <cell r="B822" t="str">
            <v>MAC_CoberturaIndoor2026_344</v>
          </cell>
          <cell r="C822" t="str">
            <v>LimaMet_ChoSjm_SuggestedNode_29</v>
          </cell>
          <cell r="D822" t="str">
            <v>Sin Cod</v>
          </cell>
          <cell r="E822" t="str">
            <v>COBERTURA INDOOR 2026</v>
          </cell>
          <cell r="F822" t="str">
            <v>Macros</v>
          </cell>
          <cell r="G822">
            <v>2026</v>
          </cell>
          <cell r="H822" t="str">
            <v>2Q</v>
          </cell>
          <cell r="I822" t="str">
            <v>Almendra Vásquez</v>
          </cell>
          <cell r="J822" t="str">
            <v>En Busqueda</v>
          </cell>
          <cell r="K822">
            <v>46035</v>
          </cell>
        </row>
        <row r="823">
          <cell r="B823" t="str">
            <v>MAC_CoberturaIndoor2026_345</v>
          </cell>
          <cell r="C823" t="str">
            <v>LimaMet_Mir_ManualAdded_05_VIP_Esquina</v>
          </cell>
          <cell r="D823" t="str">
            <v>Sin Cod</v>
          </cell>
          <cell r="E823" t="str">
            <v>COBERTURA INDOOR 2026</v>
          </cell>
          <cell r="F823" t="str">
            <v>Macros</v>
          </cell>
          <cell r="G823">
            <v>2026</v>
          </cell>
          <cell r="H823" t="str">
            <v>2Q</v>
          </cell>
          <cell r="I823" t="str">
            <v>Almendra Vásquez</v>
          </cell>
          <cell r="J823" t="str">
            <v>En Busqueda</v>
          </cell>
          <cell r="K823">
            <v>46035</v>
          </cell>
        </row>
        <row r="824">
          <cell r="B824" t="str">
            <v>MAC_CoberturaIndoor2026_346</v>
          </cell>
          <cell r="C824" t="str">
            <v>LM_MaleconDeBarranco</v>
          </cell>
          <cell r="D824" t="str">
            <v>Sin Cod</v>
          </cell>
          <cell r="E824" t="str">
            <v>COBERTURA INDOOR 2026</v>
          </cell>
          <cell r="F824" t="str">
            <v>Macros</v>
          </cell>
          <cell r="G824">
            <v>2026</v>
          </cell>
          <cell r="H824" t="str">
            <v>2Q</v>
          </cell>
          <cell r="I824" t="str">
            <v>Almendra Vásquez</v>
          </cell>
          <cell r="J824" t="str">
            <v>En Busqueda</v>
          </cell>
          <cell r="K824">
            <v>46035</v>
          </cell>
        </row>
        <row r="825">
          <cell r="B825" t="str">
            <v>MAC_CoberturaIndoor2026_347</v>
          </cell>
          <cell r="C825" t="str">
            <v>LM_PqBellaLuz</v>
          </cell>
          <cell r="D825" t="str">
            <v>Sin Cod</v>
          </cell>
          <cell r="E825" t="str">
            <v>COBERTURA INDOOR 2026</v>
          </cell>
          <cell r="F825" t="str">
            <v>Macros</v>
          </cell>
          <cell r="G825">
            <v>2026</v>
          </cell>
          <cell r="H825" t="str">
            <v>2Q</v>
          </cell>
          <cell r="I825" t="str">
            <v>Almendra Vásquez</v>
          </cell>
          <cell r="J825" t="str">
            <v>En Busqueda</v>
          </cell>
          <cell r="K825">
            <v>46035</v>
          </cell>
        </row>
        <row r="826">
          <cell r="B826" t="str">
            <v>MAC_CoberturaIndoor2026_348</v>
          </cell>
          <cell r="C826" t="str">
            <v>LM_GolfLosIncas_VIP</v>
          </cell>
          <cell r="D826" t="str">
            <v>Sin Cod</v>
          </cell>
          <cell r="E826" t="str">
            <v>COBERTURA INDOOR 2026</v>
          </cell>
          <cell r="F826" t="str">
            <v>Macros</v>
          </cell>
          <cell r="G826">
            <v>2026</v>
          </cell>
          <cell r="H826" t="str">
            <v>2Q</v>
          </cell>
          <cell r="I826" t="str">
            <v>Almendra Vásquez</v>
          </cell>
          <cell r="J826" t="str">
            <v>En Busqueda</v>
          </cell>
          <cell r="K826">
            <v>46035</v>
          </cell>
        </row>
        <row r="827">
          <cell r="B827" t="str">
            <v>EXP_Limpieza3.5_1</v>
          </cell>
          <cell r="C827" t="str">
            <v>0130029_LM_Los_Andes</v>
          </cell>
          <cell r="D827" t="str">
            <v>M0824</v>
          </cell>
          <cell r="E827" t="str">
            <v>LIMPIEZA + ACTIVACION 3.5 2025</v>
          </cell>
          <cell r="F827" t="str">
            <v>Expansiones 3.5</v>
          </cell>
          <cell r="G827">
            <v>2026</v>
          </cell>
          <cell r="I827" t="str">
            <v>Nicole Aquino</v>
          </cell>
          <cell r="J827" t="str">
            <v>RFI</v>
          </cell>
          <cell r="K827">
            <v>46035</v>
          </cell>
        </row>
        <row r="828">
          <cell r="B828" t="str">
            <v>EXP_Limpieza3.5_2</v>
          </cell>
          <cell r="C828" t="str">
            <v>0130046_LM_Principal</v>
          </cell>
          <cell r="D828" t="str">
            <v>M0824</v>
          </cell>
          <cell r="E828" t="str">
            <v>LIMPIEZA + ACTIVACION 3.5 2025</v>
          </cell>
          <cell r="F828" t="str">
            <v>Expansiones 3.5</v>
          </cell>
          <cell r="G828">
            <v>2026</v>
          </cell>
          <cell r="I828" t="str">
            <v>Nicole Aquino</v>
          </cell>
          <cell r="J828" t="str">
            <v>RFI</v>
          </cell>
          <cell r="K828">
            <v>46035</v>
          </cell>
        </row>
        <row r="829">
          <cell r="B829" t="str">
            <v>EXP_Limpieza3.5_4</v>
          </cell>
          <cell r="C829" t="str">
            <v>0130096_LM_Carcamo</v>
          </cell>
          <cell r="D829" t="str">
            <v>M0824</v>
          </cell>
          <cell r="E829" t="str">
            <v>LIMPIEZA + ACTIVACION 3.5 2025</v>
          </cell>
          <cell r="F829" t="str">
            <v>Expansiones 3.5</v>
          </cell>
          <cell r="G829">
            <v>2026</v>
          </cell>
          <cell r="I829" t="str">
            <v>Nicole Aquino</v>
          </cell>
          <cell r="J829" t="str">
            <v>RFI</v>
          </cell>
          <cell r="K829">
            <v>46035</v>
          </cell>
        </row>
        <row r="830">
          <cell r="B830" t="str">
            <v>EXP_Limpieza3.5_5</v>
          </cell>
          <cell r="C830" t="str">
            <v>0130098_LM_Plaza_La_Bandera</v>
          </cell>
          <cell r="D830" t="str">
            <v>M0824</v>
          </cell>
          <cell r="E830" t="str">
            <v>LIMPIEZA + ACTIVACION 3.5 2025</v>
          </cell>
          <cell r="F830" t="str">
            <v>Expansiones 3.5</v>
          </cell>
          <cell r="G830">
            <v>2026</v>
          </cell>
          <cell r="I830" t="str">
            <v>Nicole Aquino</v>
          </cell>
          <cell r="J830" t="str">
            <v>RFI</v>
          </cell>
          <cell r="K830">
            <v>46035</v>
          </cell>
        </row>
        <row r="831">
          <cell r="B831" t="str">
            <v>EXP_Limpieza3.5_7</v>
          </cell>
          <cell r="C831" t="str">
            <v>0130117_LM_Orue</v>
          </cell>
          <cell r="D831" t="str">
            <v>M0824</v>
          </cell>
          <cell r="E831" t="str">
            <v>LIMPIEZA + ACTIVACION 3.5 2025</v>
          </cell>
          <cell r="F831" t="str">
            <v>Expansiones 3.5</v>
          </cell>
          <cell r="G831">
            <v>2026</v>
          </cell>
          <cell r="I831" t="str">
            <v>Nicole Aquino</v>
          </cell>
          <cell r="J831" t="str">
            <v>RFI</v>
          </cell>
          <cell r="K831">
            <v>46035</v>
          </cell>
        </row>
        <row r="832">
          <cell r="B832" t="str">
            <v>EXP_Limpieza3.5_8</v>
          </cell>
          <cell r="C832" t="str">
            <v>0130132_LM_Centro_Empresarial</v>
          </cell>
          <cell r="D832" t="str">
            <v>M0824</v>
          </cell>
          <cell r="E832" t="str">
            <v>LIMPIEZA + ACTIVACION 3.5 2025</v>
          </cell>
          <cell r="F832" t="str">
            <v>Expansiones 3.5</v>
          </cell>
          <cell r="G832">
            <v>2026</v>
          </cell>
          <cell r="I832" t="str">
            <v>Nicole Aquino</v>
          </cell>
          <cell r="J832" t="str">
            <v>RFI</v>
          </cell>
          <cell r="K832">
            <v>46035</v>
          </cell>
        </row>
        <row r="833">
          <cell r="B833" t="str">
            <v>EXP_Limpieza3.5_9</v>
          </cell>
          <cell r="C833" t="str">
            <v>0130136_LM_Bolivia</v>
          </cell>
          <cell r="D833" t="str">
            <v>M0824</v>
          </cell>
          <cell r="E833" t="str">
            <v>LIMPIEZA + ACTIVACION 3.5 2025</v>
          </cell>
          <cell r="F833" t="str">
            <v>Expansiones 3.5</v>
          </cell>
          <cell r="G833">
            <v>2026</v>
          </cell>
          <cell r="I833" t="str">
            <v>Nicole Aquino</v>
          </cell>
          <cell r="J833" t="str">
            <v>RFI</v>
          </cell>
          <cell r="K833">
            <v>46035</v>
          </cell>
        </row>
        <row r="834">
          <cell r="B834" t="str">
            <v>EXP_Limpieza3.5_11</v>
          </cell>
          <cell r="C834" t="str">
            <v>0130168_LM_Campo_de_Marte</v>
          </cell>
          <cell r="D834" t="str">
            <v>M0824</v>
          </cell>
          <cell r="E834" t="str">
            <v>LIMPIEZA + ACTIVACION 3.5 2025</v>
          </cell>
          <cell r="F834" t="str">
            <v>Expansiones 3.5</v>
          </cell>
          <cell r="G834">
            <v>2026</v>
          </cell>
          <cell r="I834" t="str">
            <v>Nicole Aquino</v>
          </cell>
          <cell r="J834" t="str">
            <v>RFI</v>
          </cell>
          <cell r="K834">
            <v>46035</v>
          </cell>
        </row>
        <row r="835">
          <cell r="B835" t="str">
            <v>EXP_Limpieza3.5_16</v>
          </cell>
          <cell r="C835" t="str">
            <v>0130330_LM_Colombia</v>
          </cell>
          <cell r="D835" t="str">
            <v>M0824</v>
          </cell>
          <cell r="E835" t="str">
            <v>LIMPIEZA + ACTIVACION 3.5 2025</v>
          </cell>
          <cell r="F835" t="str">
            <v>Expansiones 3.5</v>
          </cell>
          <cell r="G835">
            <v>2026</v>
          </cell>
          <cell r="I835" t="str">
            <v>Nicole Aquino</v>
          </cell>
          <cell r="J835" t="str">
            <v>RFI</v>
          </cell>
          <cell r="K835">
            <v>46035</v>
          </cell>
        </row>
        <row r="836">
          <cell r="B836" t="str">
            <v>EXP_Limpieza3.5_18</v>
          </cell>
          <cell r="C836" t="str">
            <v>0130377_LM_Huaral</v>
          </cell>
          <cell r="D836" t="str">
            <v>M0824</v>
          </cell>
          <cell r="E836" t="str">
            <v>LIMPIEZA + ACTIVACION 3.5 2025</v>
          </cell>
          <cell r="F836" t="str">
            <v>Expansiones 3.5</v>
          </cell>
          <cell r="G836">
            <v>2026</v>
          </cell>
          <cell r="I836" t="str">
            <v>Nicole Aquino</v>
          </cell>
          <cell r="J836" t="str">
            <v>RFI</v>
          </cell>
          <cell r="K836">
            <v>46035</v>
          </cell>
        </row>
        <row r="837">
          <cell r="B837" t="str">
            <v>EXP_Limpieza3.5_20</v>
          </cell>
          <cell r="C837" t="str">
            <v>0130422_LM_Espana</v>
          </cell>
          <cell r="D837" t="str">
            <v>M0824</v>
          </cell>
          <cell r="E837" t="str">
            <v>LIMPIEZA + ACTIVACION 3.5 2025</v>
          </cell>
          <cell r="F837" t="str">
            <v>Expansiones 3.5</v>
          </cell>
          <cell r="G837">
            <v>2026</v>
          </cell>
          <cell r="I837" t="str">
            <v>Nicole Aquino</v>
          </cell>
          <cell r="J837" t="str">
            <v>RFI</v>
          </cell>
          <cell r="K837">
            <v>46035</v>
          </cell>
        </row>
        <row r="838">
          <cell r="B838" t="str">
            <v>EXP_Limpieza3.5_21</v>
          </cell>
          <cell r="C838" t="str">
            <v>0130434_LM_General_Orbegoso</v>
          </cell>
          <cell r="D838" t="str">
            <v>M0824</v>
          </cell>
          <cell r="E838" t="str">
            <v>LIMPIEZA + ACTIVACION 3.5 2025</v>
          </cell>
          <cell r="F838" t="str">
            <v>Expansiones 3.5</v>
          </cell>
          <cell r="G838">
            <v>2026</v>
          </cell>
          <cell r="I838" t="str">
            <v>Nicole Aquino</v>
          </cell>
          <cell r="J838" t="str">
            <v>RFI</v>
          </cell>
          <cell r="K838">
            <v>46035</v>
          </cell>
        </row>
        <row r="839">
          <cell r="B839" t="str">
            <v>EXP_Limpieza3.5_22</v>
          </cell>
          <cell r="C839" t="str">
            <v>0130467_LM_San_Fernando</v>
          </cell>
          <cell r="D839" t="str">
            <v>M0824</v>
          </cell>
          <cell r="E839" t="str">
            <v>LIMPIEZA + ACTIVACION 3.5 2025</v>
          </cell>
          <cell r="F839" t="str">
            <v>Expansiones 3.5</v>
          </cell>
          <cell r="G839">
            <v>2026</v>
          </cell>
          <cell r="I839" t="str">
            <v>Nicole Aquino</v>
          </cell>
          <cell r="J839" t="str">
            <v>RFI</v>
          </cell>
          <cell r="K839">
            <v>46035</v>
          </cell>
        </row>
        <row r="840">
          <cell r="B840" t="str">
            <v>EXP_Limpieza3.5_23</v>
          </cell>
          <cell r="C840" t="str">
            <v>0130493_LM_Mercedarias</v>
          </cell>
          <cell r="D840" t="str">
            <v>M0824</v>
          </cell>
          <cell r="E840" t="str">
            <v>LIMPIEZA + ACTIVACION 3.5 2025</v>
          </cell>
          <cell r="F840" t="str">
            <v>Expansiones 3.5</v>
          </cell>
          <cell r="G840">
            <v>2026</v>
          </cell>
          <cell r="I840" t="str">
            <v>Nicole Aquino</v>
          </cell>
          <cell r="J840" t="str">
            <v>RFI</v>
          </cell>
          <cell r="K840">
            <v>46035</v>
          </cell>
        </row>
        <row r="841">
          <cell r="B841" t="str">
            <v>EXP_Limpieza3.5_24</v>
          </cell>
          <cell r="C841" t="str">
            <v>0130517_LM_El_Condal</v>
          </cell>
          <cell r="D841" t="str">
            <v>M0824</v>
          </cell>
          <cell r="E841" t="str">
            <v>LIMPIEZA + ACTIVACION 3.5 2025</v>
          </cell>
          <cell r="F841" t="str">
            <v>Expansiones 3.5</v>
          </cell>
          <cell r="G841">
            <v>2026</v>
          </cell>
          <cell r="I841" t="str">
            <v>Nicole Aquino</v>
          </cell>
          <cell r="J841" t="str">
            <v>RFI</v>
          </cell>
          <cell r="K841">
            <v>46035</v>
          </cell>
        </row>
        <row r="842">
          <cell r="B842" t="str">
            <v>EXP_Limpieza3.5_33</v>
          </cell>
          <cell r="C842" t="str">
            <v>0130692_LI_Ovalo_Huanchaco</v>
          </cell>
          <cell r="D842" t="str">
            <v>M0824</v>
          </cell>
          <cell r="E842" t="str">
            <v>LIMPIEZA + ACTIVACION 3.5 2025</v>
          </cell>
          <cell r="F842" t="str">
            <v>Expansiones 3.5</v>
          </cell>
          <cell r="G842">
            <v>2026</v>
          </cell>
          <cell r="I842" t="str">
            <v>Nicole Aquino</v>
          </cell>
          <cell r="J842" t="str">
            <v>RFI</v>
          </cell>
          <cell r="K842">
            <v>46035</v>
          </cell>
        </row>
        <row r="843">
          <cell r="B843" t="str">
            <v>EXP_Limpieza3.5_34</v>
          </cell>
          <cell r="C843" t="str">
            <v>0130712_AN_Coishco</v>
          </cell>
          <cell r="D843" t="str">
            <v>M0824</v>
          </cell>
          <cell r="E843" t="str">
            <v>LIMPIEZA + ACTIVACION 3.5 2025</v>
          </cell>
          <cell r="F843" t="str">
            <v>Expansiones 3.5</v>
          </cell>
          <cell r="G843">
            <v>2026</v>
          </cell>
          <cell r="I843" t="str">
            <v>Nicole Aquino</v>
          </cell>
          <cell r="J843" t="str">
            <v>RFI</v>
          </cell>
          <cell r="K843">
            <v>46035</v>
          </cell>
        </row>
        <row r="844">
          <cell r="B844" t="str">
            <v>EXP_Limpieza3.5_35</v>
          </cell>
          <cell r="C844" t="str">
            <v>0130786_AN_Coishco_Centro</v>
          </cell>
          <cell r="D844" t="str">
            <v>M0824</v>
          </cell>
          <cell r="E844" t="str">
            <v>LIMPIEZA + ACTIVACION 3.5 2025</v>
          </cell>
          <cell r="F844" t="str">
            <v>Expansiones 3.5</v>
          </cell>
          <cell r="G844">
            <v>2026</v>
          </cell>
          <cell r="I844" t="str">
            <v>Nicole Aquino</v>
          </cell>
          <cell r="J844" t="str">
            <v>RFI</v>
          </cell>
          <cell r="K844">
            <v>46035</v>
          </cell>
        </row>
        <row r="845">
          <cell r="B845" t="str">
            <v>EXP_Limpieza3.5_38</v>
          </cell>
          <cell r="C845" t="str">
            <v>0130857_IC_Leon_De_Vivero</v>
          </cell>
          <cell r="D845" t="str">
            <v>M0824</v>
          </cell>
          <cell r="E845" t="str">
            <v>LIMPIEZA + ACTIVACION 3.5 2025</v>
          </cell>
          <cell r="F845" t="str">
            <v>Expansiones 3.5</v>
          </cell>
          <cell r="G845">
            <v>2026</v>
          </cell>
          <cell r="I845" t="str">
            <v>Nicole Aquino</v>
          </cell>
          <cell r="J845" t="str">
            <v>RFI</v>
          </cell>
          <cell r="K845">
            <v>46035</v>
          </cell>
        </row>
        <row r="846">
          <cell r="B846" t="str">
            <v>EXP_Limpieza3.5_39</v>
          </cell>
          <cell r="C846" t="str">
            <v>0130858_IC_Eguren_Collantes</v>
          </cell>
          <cell r="D846" t="str">
            <v>M0824</v>
          </cell>
          <cell r="E846" t="str">
            <v>LIMPIEZA + ACTIVACION 3.5 2025</v>
          </cell>
          <cell r="F846" t="str">
            <v>Expansiones 3.5</v>
          </cell>
          <cell r="G846">
            <v>2026</v>
          </cell>
          <cell r="I846" t="str">
            <v>Nicole Aquino</v>
          </cell>
          <cell r="J846" t="str">
            <v>RFI</v>
          </cell>
          <cell r="K846">
            <v>46035</v>
          </cell>
        </row>
        <row r="847">
          <cell r="B847" t="str">
            <v>EXP_Limpieza3.5_43</v>
          </cell>
          <cell r="C847" t="str">
            <v>0130871_IC_Puente_Blanco</v>
          </cell>
          <cell r="D847" t="str">
            <v>M0824</v>
          </cell>
          <cell r="E847" t="str">
            <v>LIMPIEZA + ACTIVACION 3.5 2025</v>
          </cell>
          <cell r="F847" t="str">
            <v>Expansiones 3.5</v>
          </cell>
          <cell r="G847">
            <v>2026</v>
          </cell>
          <cell r="I847" t="str">
            <v>Nicole Aquino</v>
          </cell>
          <cell r="J847" t="str">
            <v>RFI</v>
          </cell>
          <cell r="K847">
            <v>46035</v>
          </cell>
        </row>
        <row r="848">
          <cell r="B848" t="str">
            <v>EXP_Limpieza3.5_44</v>
          </cell>
          <cell r="C848" t="str">
            <v>0130922_AQ_San_Bernardo_Chigua</v>
          </cell>
          <cell r="D848" t="str">
            <v>M0824</v>
          </cell>
          <cell r="E848" t="str">
            <v>LIMPIEZA + ACTIVACION 3.5 2025</v>
          </cell>
          <cell r="F848" t="str">
            <v>Expansiones 3.5</v>
          </cell>
          <cell r="G848">
            <v>2026</v>
          </cell>
          <cell r="I848" t="str">
            <v>Nicole Aquino</v>
          </cell>
          <cell r="J848" t="str">
            <v>RFI</v>
          </cell>
          <cell r="K848">
            <v>46035</v>
          </cell>
        </row>
        <row r="849">
          <cell r="B849" t="str">
            <v>EXP_Limpieza3.5_46</v>
          </cell>
          <cell r="C849" t="str">
            <v>0130946_AQ_Urb_Miguel_Grau</v>
          </cell>
          <cell r="D849" t="str">
            <v>M0824</v>
          </cell>
          <cell r="E849" t="str">
            <v>LIMPIEZA + ACTIVACION 3.5 2025</v>
          </cell>
          <cell r="F849" t="str">
            <v>Expansiones 3.5</v>
          </cell>
          <cell r="G849">
            <v>2026</v>
          </cell>
          <cell r="I849" t="str">
            <v>Nicole Aquino</v>
          </cell>
          <cell r="J849" t="str">
            <v>RFI</v>
          </cell>
          <cell r="K849">
            <v>46035</v>
          </cell>
        </row>
        <row r="850">
          <cell r="B850" t="str">
            <v>EXP_Limpieza3.5_47</v>
          </cell>
          <cell r="C850" t="str">
            <v>0130956_AQ_Colonial</v>
          </cell>
          <cell r="D850" t="str">
            <v>M0824</v>
          </cell>
          <cell r="E850" t="str">
            <v>LIMPIEZA + ACTIVACION 3.5 2025</v>
          </cell>
          <cell r="F850" t="str">
            <v>Expansiones 3.5</v>
          </cell>
          <cell r="G850">
            <v>2026</v>
          </cell>
          <cell r="I850" t="str">
            <v>Nicole Aquino</v>
          </cell>
          <cell r="J850" t="str">
            <v>RFI</v>
          </cell>
          <cell r="K850">
            <v>46035</v>
          </cell>
        </row>
        <row r="851">
          <cell r="B851" t="str">
            <v>EXP_Limpieza3.5_48</v>
          </cell>
          <cell r="C851" t="str">
            <v>0130958_AQ_Carrion_Castilla</v>
          </cell>
          <cell r="D851" t="str">
            <v>M0824</v>
          </cell>
          <cell r="E851" t="str">
            <v>LIMPIEZA + ACTIVACION 3.5 2025</v>
          </cell>
          <cell r="F851" t="str">
            <v>Expansiones 3.5</v>
          </cell>
          <cell r="G851">
            <v>2026</v>
          </cell>
          <cell r="I851" t="str">
            <v>Nicole Aquino</v>
          </cell>
          <cell r="J851" t="str">
            <v>RFI</v>
          </cell>
          <cell r="K851">
            <v>46035</v>
          </cell>
        </row>
        <row r="852">
          <cell r="B852" t="str">
            <v>EXP_Limpieza3.5_49</v>
          </cell>
          <cell r="C852" t="str">
            <v>0130959_AQ_Casa_Blanca_Aqp</v>
          </cell>
          <cell r="D852" t="str">
            <v>M0824</v>
          </cell>
          <cell r="E852" t="str">
            <v>LIMPIEZA + ACTIVACION 3.5 2025</v>
          </cell>
          <cell r="F852" t="str">
            <v>Expansiones 3.5</v>
          </cell>
          <cell r="G852">
            <v>2026</v>
          </cell>
          <cell r="I852" t="str">
            <v>Nicole Aquino</v>
          </cell>
          <cell r="J852" t="str">
            <v>RFI</v>
          </cell>
          <cell r="K852">
            <v>46035</v>
          </cell>
        </row>
        <row r="853">
          <cell r="B853" t="str">
            <v>EXP_Limpieza3.5_50</v>
          </cell>
          <cell r="C853" t="str">
            <v>0130967_AQ_Cerro_Colorado</v>
          </cell>
          <cell r="D853" t="str">
            <v>M0824</v>
          </cell>
          <cell r="E853" t="str">
            <v>LIMPIEZA + ACTIVACION 3.5 2025</v>
          </cell>
          <cell r="F853" t="str">
            <v>Expansiones 3.5</v>
          </cell>
          <cell r="G853">
            <v>2026</v>
          </cell>
          <cell r="I853" t="str">
            <v>Nicole Aquino</v>
          </cell>
          <cell r="J853" t="str">
            <v>RFI</v>
          </cell>
          <cell r="K853">
            <v>46035</v>
          </cell>
        </row>
        <row r="854">
          <cell r="B854" t="str">
            <v>EXP_Limpieza3.5_51</v>
          </cell>
          <cell r="C854" t="str">
            <v>0130973_AQ_Buganvillas</v>
          </cell>
          <cell r="D854" t="str">
            <v>M0824</v>
          </cell>
          <cell r="E854" t="str">
            <v>LIMPIEZA + ACTIVACION 3.5 2025</v>
          </cell>
          <cell r="F854" t="str">
            <v>Expansiones 3.5</v>
          </cell>
          <cell r="G854">
            <v>2026</v>
          </cell>
          <cell r="I854" t="str">
            <v>Nicole Aquino</v>
          </cell>
          <cell r="J854" t="str">
            <v>RFI</v>
          </cell>
          <cell r="K854">
            <v>46035</v>
          </cell>
        </row>
        <row r="855">
          <cell r="B855" t="str">
            <v>EXP_Limpieza3.5_53</v>
          </cell>
          <cell r="C855" t="str">
            <v>0130990_AQ_Martinetti</v>
          </cell>
          <cell r="D855" t="str">
            <v>M0824</v>
          </cell>
          <cell r="E855" t="str">
            <v>LIMPIEZA + ACTIVACION 3.5 2025</v>
          </cell>
          <cell r="F855" t="str">
            <v>Expansiones 3.5</v>
          </cell>
          <cell r="G855">
            <v>2026</v>
          </cell>
          <cell r="I855" t="str">
            <v>Nicole Aquino</v>
          </cell>
          <cell r="J855" t="str">
            <v>RFI</v>
          </cell>
          <cell r="K855">
            <v>46035</v>
          </cell>
        </row>
        <row r="856">
          <cell r="B856" t="str">
            <v>EXP_Limpieza3.5_54</v>
          </cell>
          <cell r="C856" t="str">
            <v>0130994_AQ_Las_Dominicas</v>
          </cell>
          <cell r="D856" t="str">
            <v>M0824</v>
          </cell>
          <cell r="E856" t="str">
            <v>LIMPIEZA + ACTIVACION 3.5 2025</v>
          </cell>
          <cell r="F856" t="str">
            <v>Expansiones 3.5</v>
          </cell>
          <cell r="G856">
            <v>2026</v>
          </cell>
          <cell r="I856" t="str">
            <v>Nicole Aquino</v>
          </cell>
          <cell r="J856" t="str">
            <v>RFI</v>
          </cell>
          <cell r="K856">
            <v>46035</v>
          </cell>
        </row>
        <row r="857">
          <cell r="B857" t="str">
            <v>EXP_Limpieza3.5_55</v>
          </cell>
          <cell r="C857" t="str">
            <v>0130997_AQ_Sodimac_Arequipa</v>
          </cell>
          <cell r="D857" t="str">
            <v>M0824</v>
          </cell>
          <cell r="E857" t="str">
            <v>LIMPIEZA + ACTIVACION 3.5 2025</v>
          </cell>
          <cell r="F857" t="str">
            <v>Expansiones 3.5</v>
          </cell>
          <cell r="G857">
            <v>2026</v>
          </cell>
          <cell r="I857" t="str">
            <v>Nicole Aquino</v>
          </cell>
          <cell r="J857" t="str">
            <v>RFI</v>
          </cell>
          <cell r="K857">
            <v>46035</v>
          </cell>
        </row>
        <row r="858">
          <cell r="B858" t="str">
            <v>EXP_Limpieza3.5_56</v>
          </cell>
          <cell r="C858" t="str">
            <v>0131004_LA_Chiclayo_Centro</v>
          </cell>
          <cell r="D858" t="str">
            <v>M0824</v>
          </cell>
          <cell r="E858" t="str">
            <v>LIMPIEZA + ACTIVACION 3.5 2025</v>
          </cell>
          <cell r="F858" t="str">
            <v>Expansiones 3.5</v>
          </cell>
          <cell r="G858">
            <v>2026</v>
          </cell>
          <cell r="I858" t="str">
            <v>Nicole Aquino</v>
          </cell>
          <cell r="J858" t="str">
            <v>RFI</v>
          </cell>
          <cell r="K858">
            <v>46035</v>
          </cell>
        </row>
        <row r="859">
          <cell r="B859" t="str">
            <v>EXP_Limpieza3.5_60</v>
          </cell>
          <cell r="C859" t="str">
            <v>0131028_LA_Real_Plaza_Chiclayo</v>
          </cell>
          <cell r="D859" t="str">
            <v>M0824</v>
          </cell>
          <cell r="E859" t="str">
            <v>LIMPIEZA + ACTIVACION 3.5 2025</v>
          </cell>
          <cell r="F859" t="str">
            <v>Expansiones 3.5</v>
          </cell>
          <cell r="G859">
            <v>2026</v>
          </cell>
          <cell r="I859" t="str">
            <v>Nicole Aquino</v>
          </cell>
          <cell r="J859" t="str">
            <v>RFI</v>
          </cell>
          <cell r="K859">
            <v>46035</v>
          </cell>
        </row>
        <row r="860">
          <cell r="B860" t="str">
            <v>EXP_Limpieza3.5_62</v>
          </cell>
          <cell r="C860" t="str">
            <v>0131036_LA_Elvira_Garcia_Garci</v>
          </cell>
          <cell r="D860" t="str">
            <v>M0824</v>
          </cell>
          <cell r="E860" t="str">
            <v>LIMPIEZA + ACTIVACION 3.5 2025</v>
          </cell>
          <cell r="F860" t="str">
            <v>Expansiones 3.5</v>
          </cell>
          <cell r="G860">
            <v>2026</v>
          </cell>
          <cell r="I860" t="str">
            <v>Nicole Aquino</v>
          </cell>
          <cell r="J860" t="str">
            <v>RFI</v>
          </cell>
          <cell r="K860">
            <v>46035</v>
          </cell>
        </row>
        <row r="861">
          <cell r="B861" t="str">
            <v>EXP_Limpieza3.5_63</v>
          </cell>
          <cell r="C861" t="str">
            <v>0131037_LA_Estadio_Elias_Aguir</v>
          </cell>
          <cell r="D861" t="str">
            <v>M0824</v>
          </cell>
          <cell r="E861" t="str">
            <v>LIMPIEZA + ACTIVACION 3.5 2025</v>
          </cell>
          <cell r="F861" t="str">
            <v>Expansiones 3.5</v>
          </cell>
          <cell r="G861">
            <v>2026</v>
          </cell>
          <cell r="I861" t="str">
            <v>Nicole Aquino</v>
          </cell>
          <cell r="J861" t="str">
            <v>RFI</v>
          </cell>
          <cell r="K861">
            <v>46035</v>
          </cell>
        </row>
        <row r="862">
          <cell r="B862" t="str">
            <v>EXP_Limpieza3.5_64</v>
          </cell>
          <cell r="C862" t="str">
            <v>0131039_LA_Super_Belaunde</v>
          </cell>
          <cell r="D862" t="str">
            <v>M0824</v>
          </cell>
          <cell r="E862" t="str">
            <v>LIMPIEZA + ACTIVACION 3.5 2025</v>
          </cell>
          <cell r="F862" t="str">
            <v>Expansiones 3.5</v>
          </cell>
          <cell r="G862">
            <v>2026</v>
          </cell>
          <cell r="I862" t="str">
            <v>Nicole Aquino</v>
          </cell>
          <cell r="J862" t="str">
            <v>RFI</v>
          </cell>
          <cell r="K862">
            <v>46035</v>
          </cell>
        </row>
        <row r="863">
          <cell r="B863" t="str">
            <v>EXP_Limpieza3.5_66</v>
          </cell>
          <cell r="C863" t="str">
            <v>0131058_LA_Saenz_Pena</v>
          </cell>
          <cell r="D863" t="str">
            <v>M0824</v>
          </cell>
          <cell r="E863" t="str">
            <v>LIMPIEZA + ACTIVACION 3.5 2025</v>
          </cell>
          <cell r="F863" t="str">
            <v>Expansiones 3.5</v>
          </cell>
          <cell r="G863">
            <v>2026</v>
          </cell>
          <cell r="I863" t="str">
            <v>Nicole Aquino</v>
          </cell>
          <cell r="J863" t="str">
            <v>RFI</v>
          </cell>
          <cell r="K863">
            <v>46035</v>
          </cell>
        </row>
        <row r="864">
          <cell r="B864" t="str">
            <v>EXP_Limpieza3.5_67</v>
          </cell>
          <cell r="C864" t="str">
            <v>0131059_LA_Mercado_Atusparias</v>
          </cell>
          <cell r="D864" t="str">
            <v>M0824</v>
          </cell>
          <cell r="E864" t="str">
            <v>LIMPIEZA + ACTIVACION 3.5 2025</v>
          </cell>
          <cell r="F864" t="str">
            <v>Expansiones 3.5</v>
          </cell>
          <cell r="G864">
            <v>2026</v>
          </cell>
          <cell r="I864" t="str">
            <v>Nicole Aquino</v>
          </cell>
          <cell r="J864" t="str">
            <v>RFI</v>
          </cell>
          <cell r="K864">
            <v>46035</v>
          </cell>
        </row>
        <row r="865">
          <cell r="B865" t="str">
            <v>EXP_Limpieza3.5_69</v>
          </cell>
          <cell r="C865" t="str">
            <v>0131064_LA_Cacique_Collique</v>
          </cell>
          <cell r="D865" t="str">
            <v>M0824</v>
          </cell>
          <cell r="E865" t="str">
            <v>LIMPIEZA + ACTIVACION 3.5 2025</v>
          </cell>
          <cell r="F865" t="str">
            <v>Expansiones 3.5</v>
          </cell>
          <cell r="G865">
            <v>2026</v>
          </cell>
          <cell r="I865" t="str">
            <v>Nicole Aquino</v>
          </cell>
          <cell r="J865" t="str">
            <v>RFI</v>
          </cell>
          <cell r="K865">
            <v>46035</v>
          </cell>
        </row>
        <row r="866">
          <cell r="B866" t="str">
            <v>EXP_Limpieza3.5_70</v>
          </cell>
          <cell r="C866" t="str">
            <v>0131066_LA_7_De_Enero</v>
          </cell>
          <cell r="D866" t="str">
            <v>M0824</v>
          </cell>
          <cell r="E866" t="str">
            <v>LIMPIEZA + ACTIVACION 3.5 2025</v>
          </cell>
          <cell r="F866" t="str">
            <v>Expansiones 3.5</v>
          </cell>
          <cell r="G866">
            <v>2026</v>
          </cell>
          <cell r="I866" t="str">
            <v>Nicole Aquino</v>
          </cell>
          <cell r="J866" t="str">
            <v>RFI</v>
          </cell>
          <cell r="K866">
            <v>46035</v>
          </cell>
        </row>
        <row r="867">
          <cell r="B867" t="str">
            <v>EXP_Limpieza3.5_71</v>
          </cell>
          <cell r="C867" t="str">
            <v>0131068_LA_Juan_Itureregui</v>
          </cell>
          <cell r="D867" t="str">
            <v>M0824</v>
          </cell>
          <cell r="E867" t="str">
            <v>LIMPIEZA + ACTIVACION 3.5 2025</v>
          </cell>
          <cell r="F867" t="str">
            <v>Expansiones 3.5</v>
          </cell>
          <cell r="G867">
            <v>2026</v>
          </cell>
          <cell r="I867" t="str">
            <v>Nicole Aquino</v>
          </cell>
          <cell r="J867" t="str">
            <v>RFI</v>
          </cell>
          <cell r="K867">
            <v>46035</v>
          </cell>
        </row>
        <row r="868">
          <cell r="B868" t="str">
            <v>EXP_Limpieza3.5_72</v>
          </cell>
          <cell r="C868" t="str">
            <v>0131071_LA_Pedro_Ruiz</v>
          </cell>
          <cell r="D868" t="str">
            <v>M0824</v>
          </cell>
          <cell r="E868" t="str">
            <v>LIMPIEZA + ACTIVACION 3.5 2025</v>
          </cell>
          <cell r="F868" t="str">
            <v>Expansiones 3.5</v>
          </cell>
          <cell r="G868">
            <v>2026</v>
          </cell>
          <cell r="I868" t="str">
            <v>Nicole Aquino</v>
          </cell>
          <cell r="J868" t="str">
            <v>RFI</v>
          </cell>
          <cell r="K868">
            <v>46035</v>
          </cell>
        </row>
        <row r="869">
          <cell r="B869" t="str">
            <v>EXP_Limpieza3.5_73</v>
          </cell>
          <cell r="C869" t="str">
            <v>0131074_LA_Las_Brisas</v>
          </cell>
          <cell r="D869" t="str">
            <v>M0824</v>
          </cell>
          <cell r="E869" t="str">
            <v>LIMPIEZA + ACTIVACION 3.5 2025</v>
          </cell>
          <cell r="F869" t="str">
            <v>Expansiones 3.5</v>
          </cell>
          <cell r="G869">
            <v>2026</v>
          </cell>
          <cell r="I869" t="str">
            <v>Nicole Aquino</v>
          </cell>
          <cell r="J869" t="str">
            <v>RFI</v>
          </cell>
          <cell r="K869">
            <v>46035</v>
          </cell>
        </row>
        <row r="870">
          <cell r="B870" t="str">
            <v>EXP_Limpieza3.5_74</v>
          </cell>
          <cell r="C870" t="str">
            <v>0131076_LA_Campodonico</v>
          </cell>
          <cell r="D870" t="str">
            <v>M0824</v>
          </cell>
          <cell r="E870" t="str">
            <v>LIMPIEZA + ACTIVACION 3.5 2025</v>
          </cell>
          <cell r="F870" t="str">
            <v>Expansiones 3.5</v>
          </cell>
          <cell r="G870">
            <v>2026</v>
          </cell>
          <cell r="I870" t="str">
            <v>Nicole Aquino</v>
          </cell>
          <cell r="J870" t="str">
            <v>RFI</v>
          </cell>
          <cell r="K870">
            <v>46035</v>
          </cell>
        </row>
        <row r="871">
          <cell r="B871" t="str">
            <v>EXP_Limpieza3.5_75</v>
          </cell>
          <cell r="C871" t="str">
            <v>0131077_LA_Gran_Hotel_Chiclayo</v>
          </cell>
          <cell r="D871" t="str">
            <v>M0824</v>
          </cell>
          <cell r="E871" t="str">
            <v>LIMPIEZA + ACTIVACION 3.5 2025</v>
          </cell>
          <cell r="F871" t="str">
            <v>Expansiones 3.5</v>
          </cell>
          <cell r="G871">
            <v>2026</v>
          </cell>
          <cell r="I871" t="str">
            <v>Nicole Aquino</v>
          </cell>
          <cell r="J871" t="str">
            <v>RFI</v>
          </cell>
          <cell r="K871">
            <v>46035</v>
          </cell>
        </row>
        <row r="872">
          <cell r="B872" t="str">
            <v>EXP_Limpieza3.5_77</v>
          </cell>
          <cell r="C872" t="str">
            <v>0131081_LA_Cuglievan</v>
          </cell>
          <cell r="D872" t="str">
            <v>M0824</v>
          </cell>
          <cell r="E872" t="str">
            <v>LIMPIEZA + ACTIVACION 3.5 2025</v>
          </cell>
          <cell r="F872" t="str">
            <v>Expansiones 3.5</v>
          </cell>
          <cell r="G872">
            <v>2026</v>
          </cell>
          <cell r="I872" t="str">
            <v>Nicole Aquino</v>
          </cell>
          <cell r="J872" t="str">
            <v>RFI</v>
          </cell>
          <cell r="K872">
            <v>46035</v>
          </cell>
        </row>
        <row r="873">
          <cell r="B873" t="str">
            <v>EXP_Limpieza3.5_79</v>
          </cell>
          <cell r="C873" t="str">
            <v>0131084_LA_El_Dorado</v>
          </cell>
          <cell r="D873" t="str">
            <v>M0824</v>
          </cell>
          <cell r="E873" t="str">
            <v>LIMPIEZA + ACTIVACION 3.5 2025</v>
          </cell>
          <cell r="F873" t="str">
            <v>Expansiones 3.5</v>
          </cell>
          <cell r="G873">
            <v>2026</v>
          </cell>
          <cell r="I873" t="str">
            <v>Nicole Aquino</v>
          </cell>
          <cell r="J873" t="str">
            <v>RFI</v>
          </cell>
          <cell r="K873">
            <v>46035</v>
          </cell>
        </row>
        <row r="874">
          <cell r="B874" t="str">
            <v>EXP_Limpieza3.5_81</v>
          </cell>
          <cell r="C874" t="str">
            <v>0131115_MQ_Miramar_Ilo</v>
          </cell>
          <cell r="D874" t="str">
            <v>M0824</v>
          </cell>
          <cell r="E874" t="str">
            <v>LIMPIEZA + ACTIVACION 3.5 2025</v>
          </cell>
          <cell r="F874" t="str">
            <v>Expansiones 3.5</v>
          </cell>
          <cell r="G874">
            <v>2026</v>
          </cell>
          <cell r="I874" t="str">
            <v>Nicole Aquino</v>
          </cell>
          <cell r="J874" t="str">
            <v>RFI</v>
          </cell>
          <cell r="K874">
            <v>46035</v>
          </cell>
        </row>
        <row r="875">
          <cell r="B875" t="str">
            <v>EXP_Limpieza3.5_85</v>
          </cell>
          <cell r="C875" t="str">
            <v>0131293_TA_Defensores_Tacna</v>
          </cell>
          <cell r="D875" t="str">
            <v>M0824</v>
          </cell>
          <cell r="E875" t="str">
            <v>LIMPIEZA + ACTIVACION 3.5 2025</v>
          </cell>
          <cell r="F875" t="str">
            <v>Expansiones 3.5</v>
          </cell>
          <cell r="G875">
            <v>2026</v>
          </cell>
          <cell r="I875" t="str">
            <v>Nicole Aquino</v>
          </cell>
          <cell r="J875" t="str">
            <v>RFI</v>
          </cell>
          <cell r="K875">
            <v>46035</v>
          </cell>
        </row>
        <row r="876">
          <cell r="B876" t="str">
            <v>EXP_Limpieza3.5_86</v>
          </cell>
          <cell r="C876" t="str">
            <v>0131301_CS_Wanchaq</v>
          </cell>
          <cell r="D876" t="str">
            <v>M0824</v>
          </cell>
          <cell r="E876" t="str">
            <v>LIMPIEZA + ACTIVACION 3.5 2025</v>
          </cell>
          <cell r="F876" t="str">
            <v>Expansiones 3.5</v>
          </cell>
          <cell r="G876">
            <v>2026</v>
          </cell>
          <cell r="I876" t="str">
            <v>Nicole Aquino</v>
          </cell>
          <cell r="J876" t="str">
            <v>RFI</v>
          </cell>
          <cell r="K876">
            <v>46035</v>
          </cell>
        </row>
        <row r="877">
          <cell r="B877" t="str">
            <v>EXP_Limpieza3.5_87</v>
          </cell>
          <cell r="C877" t="str">
            <v>0131406_PN_Juliaca_Cerro</v>
          </cell>
          <cell r="D877" t="str">
            <v>M0824</v>
          </cell>
          <cell r="E877" t="str">
            <v>LIMPIEZA + ACTIVACION 3.5 2025</v>
          </cell>
          <cell r="F877" t="str">
            <v>Expansiones 3.5</v>
          </cell>
          <cell r="G877">
            <v>2026</v>
          </cell>
          <cell r="I877" t="str">
            <v>Nicole Aquino</v>
          </cell>
          <cell r="J877" t="str">
            <v>RFI</v>
          </cell>
          <cell r="K877">
            <v>46035</v>
          </cell>
        </row>
        <row r="878">
          <cell r="B878" t="str">
            <v>EXP_Limpieza3.5_88</v>
          </cell>
          <cell r="C878" t="str">
            <v>0131589_PI_China_Popular</v>
          </cell>
          <cell r="D878" t="str">
            <v>M0824</v>
          </cell>
          <cell r="E878" t="str">
            <v>LIMPIEZA + ACTIVACION 3.5 2025</v>
          </cell>
          <cell r="F878" t="str">
            <v>Expansiones 3.5</v>
          </cell>
          <cell r="G878">
            <v>2026</v>
          </cell>
          <cell r="I878" t="str">
            <v>Nicole Aquino</v>
          </cell>
          <cell r="J878" t="str">
            <v>RFI</v>
          </cell>
          <cell r="K878">
            <v>46035</v>
          </cell>
        </row>
        <row r="879">
          <cell r="B879" t="str">
            <v>EXP_Limpieza3.5_89</v>
          </cell>
          <cell r="C879" t="str">
            <v>0131639_LI_Esperanza_Ugarte</v>
          </cell>
          <cell r="D879" t="str">
            <v>M0824</v>
          </cell>
          <cell r="E879" t="str">
            <v>LIMPIEZA + ACTIVACION 3.5 2025</v>
          </cell>
          <cell r="F879" t="str">
            <v>Expansiones 3.5</v>
          </cell>
          <cell r="G879">
            <v>2026</v>
          </cell>
          <cell r="I879" t="str">
            <v>Nicole Aquino</v>
          </cell>
          <cell r="J879" t="str">
            <v>RFI</v>
          </cell>
          <cell r="K879">
            <v>46035</v>
          </cell>
        </row>
        <row r="880">
          <cell r="B880" t="str">
            <v>EXP_Limpieza3.5_90</v>
          </cell>
          <cell r="C880" t="str">
            <v>0131661_AQ_Paulet_AQP</v>
          </cell>
          <cell r="D880" t="str">
            <v>M0824</v>
          </cell>
          <cell r="E880" t="str">
            <v>LIMPIEZA + ACTIVACION 3.5 2025</v>
          </cell>
          <cell r="F880" t="str">
            <v>Expansiones 3.5</v>
          </cell>
          <cell r="G880">
            <v>2026</v>
          </cell>
          <cell r="I880" t="str">
            <v>Nicole Aquino</v>
          </cell>
          <cell r="J880" t="str">
            <v>RFI</v>
          </cell>
          <cell r="K880">
            <v>46035</v>
          </cell>
        </row>
        <row r="881">
          <cell r="B881" t="str">
            <v>EXP_Limpieza3.5_91</v>
          </cell>
          <cell r="C881" t="str">
            <v>0131669_AQ_Eden_de_Lara</v>
          </cell>
          <cell r="D881" t="str">
            <v>M0824</v>
          </cell>
          <cell r="E881" t="str">
            <v>LIMPIEZA + ACTIVACION 3.5 2025</v>
          </cell>
          <cell r="F881" t="str">
            <v>Expansiones 3.5</v>
          </cell>
          <cell r="G881">
            <v>2026</v>
          </cell>
          <cell r="I881" t="str">
            <v>Nicole Aquino</v>
          </cell>
          <cell r="J881" t="str">
            <v>RFI</v>
          </cell>
          <cell r="K881">
            <v>46035</v>
          </cell>
        </row>
        <row r="882">
          <cell r="B882" t="str">
            <v>EXP_Limpieza3.5_92</v>
          </cell>
          <cell r="C882" t="str">
            <v>0131705_PI_Piura_Industrial</v>
          </cell>
          <cell r="D882" t="str">
            <v>M0824</v>
          </cell>
          <cell r="E882" t="str">
            <v>LIMPIEZA + ACTIVACION 3.5 2025</v>
          </cell>
          <cell r="F882" t="str">
            <v>Expansiones 3.5</v>
          </cell>
          <cell r="G882">
            <v>2026</v>
          </cell>
          <cell r="I882" t="str">
            <v>Nicole Aquino</v>
          </cell>
          <cell r="J882" t="str">
            <v>RFI</v>
          </cell>
          <cell r="K882">
            <v>46035</v>
          </cell>
        </row>
        <row r="883">
          <cell r="B883" t="str">
            <v>EXP_Limpieza3.5_93</v>
          </cell>
          <cell r="C883" t="str">
            <v>0131708_PI_Sullana</v>
          </cell>
          <cell r="D883" t="str">
            <v>M0824</v>
          </cell>
          <cell r="E883" t="str">
            <v>LIMPIEZA + ACTIVACION 3.5 2025</v>
          </cell>
          <cell r="F883" t="str">
            <v>Expansiones 3.5</v>
          </cell>
          <cell r="G883">
            <v>2026</v>
          </cell>
          <cell r="I883" t="str">
            <v>Nicole Aquino</v>
          </cell>
          <cell r="J883" t="str">
            <v>RFI</v>
          </cell>
          <cell r="K883">
            <v>46035</v>
          </cell>
        </row>
        <row r="884">
          <cell r="B884" t="str">
            <v>EXP_Limpieza3.5_94</v>
          </cell>
          <cell r="C884" t="str">
            <v>0131721_PI_Basadre_Piura</v>
          </cell>
          <cell r="D884" t="str">
            <v>M0824</v>
          </cell>
          <cell r="E884" t="str">
            <v>LIMPIEZA + ACTIVACION 3.5 2025</v>
          </cell>
          <cell r="F884" t="str">
            <v>Expansiones 3.5</v>
          </cell>
          <cell r="G884">
            <v>2026</v>
          </cell>
          <cell r="I884" t="str">
            <v>Nicole Aquino</v>
          </cell>
          <cell r="J884" t="str">
            <v>RFI</v>
          </cell>
          <cell r="K884">
            <v>46035</v>
          </cell>
        </row>
        <row r="885">
          <cell r="B885" t="str">
            <v>EXP_Limpieza3.5_95</v>
          </cell>
          <cell r="C885" t="str">
            <v>0131731_PI_Castilla_Piura</v>
          </cell>
          <cell r="D885" t="str">
            <v>M0824</v>
          </cell>
          <cell r="E885" t="str">
            <v>LIMPIEZA + ACTIVACION 3.5 2025</v>
          </cell>
          <cell r="F885" t="str">
            <v>Expansiones 3.5</v>
          </cell>
          <cell r="G885">
            <v>2026</v>
          </cell>
          <cell r="I885" t="str">
            <v>Nicole Aquino</v>
          </cell>
          <cell r="J885" t="str">
            <v>RFI</v>
          </cell>
          <cell r="K885">
            <v>46035</v>
          </cell>
        </row>
        <row r="886">
          <cell r="B886" t="str">
            <v>EXP_Limpieza3.5_96</v>
          </cell>
          <cell r="C886" t="str">
            <v>0131732_PI_Estadio_Piura</v>
          </cell>
          <cell r="D886" t="str">
            <v>M0824</v>
          </cell>
          <cell r="E886" t="str">
            <v>LIMPIEZA + ACTIVACION 3.5 2025</v>
          </cell>
          <cell r="F886" t="str">
            <v>Expansiones 3.5</v>
          </cell>
          <cell r="G886">
            <v>2026</v>
          </cell>
          <cell r="I886" t="str">
            <v>Nicole Aquino</v>
          </cell>
          <cell r="J886" t="str">
            <v>RFI</v>
          </cell>
          <cell r="K886">
            <v>46035</v>
          </cell>
        </row>
        <row r="887">
          <cell r="B887" t="str">
            <v>EXP_Limpieza3.5_97</v>
          </cell>
          <cell r="C887" t="str">
            <v>0131736_PI_Cerezal</v>
          </cell>
          <cell r="D887" t="str">
            <v>M0824</v>
          </cell>
          <cell r="E887" t="str">
            <v>LIMPIEZA + ACTIVACION 3.5 2025</v>
          </cell>
          <cell r="F887" t="str">
            <v>Expansiones 3.5</v>
          </cell>
          <cell r="G887">
            <v>2026</v>
          </cell>
          <cell r="I887" t="str">
            <v>Nicole Aquino</v>
          </cell>
          <cell r="J887" t="str">
            <v>RFI</v>
          </cell>
          <cell r="K887">
            <v>46035</v>
          </cell>
        </row>
        <row r="888">
          <cell r="B888" t="str">
            <v>EXP_Limpieza3.5_98</v>
          </cell>
          <cell r="C888" t="str">
            <v>0131738_PI_Maria_Arguedas</v>
          </cell>
          <cell r="D888" t="str">
            <v>M0824</v>
          </cell>
          <cell r="E888" t="str">
            <v>LIMPIEZA + ACTIVACION 3.5 2025</v>
          </cell>
          <cell r="F888" t="str">
            <v>Expansiones 3.5</v>
          </cell>
          <cell r="G888">
            <v>2026</v>
          </cell>
          <cell r="I888" t="str">
            <v>Nicole Aquino</v>
          </cell>
          <cell r="J888" t="str">
            <v>RFI</v>
          </cell>
          <cell r="K888">
            <v>46035</v>
          </cell>
        </row>
        <row r="889">
          <cell r="B889" t="str">
            <v>EXP_Limpieza3.5_99</v>
          </cell>
          <cell r="C889" t="str">
            <v>0131742_PI_Piura_Norte</v>
          </cell>
          <cell r="D889" t="str">
            <v>M0824</v>
          </cell>
          <cell r="E889" t="str">
            <v>LIMPIEZA + ACTIVACION 3.5 2025</v>
          </cell>
          <cell r="F889" t="str">
            <v>Expansiones 3.5</v>
          </cell>
          <cell r="G889">
            <v>2026</v>
          </cell>
          <cell r="I889" t="str">
            <v>Nicole Aquino</v>
          </cell>
          <cell r="J889" t="str">
            <v>RFI</v>
          </cell>
          <cell r="K889">
            <v>46035</v>
          </cell>
        </row>
        <row r="890">
          <cell r="B890" t="str">
            <v>EXP_Limpieza3.5_100</v>
          </cell>
          <cell r="C890" t="str">
            <v>0131744_PI_Salida_Tambogrande</v>
          </cell>
          <cell r="D890" t="str">
            <v>M0824</v>
          </cell>
          <cell r="E890" t="str">
            <v>LIMPIEZA + ACTIVACION 3.5 2025</v>
          </cell>
          <cell r="F890" t="str">
            <v>Expansiones 3.5</v>
          </cell>
          <cell r="G890">
            <v>2026</v>
          </cell>
          <cell r="I890" t="str">
            <v>Nicole Aquino</v>
          </cell>
          <cell r="J890" t="str">
            <v>RFI</v>
          </cell>
          <cell r="K890">
            <v>46035</v>
          </cell>
        </row>
        <row r="891">
          <cell r="B891" t="str">
            <v>EXP_Limpieza3.5_102</v>
          </cell>
          <cell r="C891" t="str">
            <v>0131757_PI_San_Sebastian_Piura</v>
          </cell>
          <cell r="D891" t="str">
            <v>M0824</v>
          </cell>
          <cell r="E891" t="str">
            <v>LIMPIEZA + ACTIVACION 3.5 2025</v>
          </cell>
          <cell r="F891" t="str">
            <v>Expansiones 3.5</v>
          </cell>
          <cell r="G891">
            <v>2026</v>
          </cell>
          <cell r="I891" t="str">
            <v>Nicole Aquino</v>
          </cell>
          <cell r="J891" t="str">
            <v>RFI</v>
          </cell>
          <cell r="K891">
            <v>46035</v>
          </cell>
        </row>
        <row r="892">
          <cell r="B892" t="str">
            <v>EXP_Limpieza3.5_103</v>
          </cell>
          <cell r="C892" t="str">
            <v>0131758_PI_Luis_Montero</v>
          </cell>
          <cell r="D892" t="str">
            <v>M0824</v>
          </cell>
          <cell r="E892" t="str">
            <v>LIMPIEZA + ACTIVACION 3.5 2025</v>
          </cell>
          <cell r="F892" t="str">
            <v>Expansiones 3.5</v>
          </cell>
          <cell r="G892">
            <v>2026</v>
          </cell>
          <cell r="I892" t="str">
            <v>Nicole Aquino</v>
          </cell>
          <cell r="J892" t="str">
            <v>RFI</v>
          </cell>
          <cell r="K892">
            <v>46035</v>
          </cell>
        </row>
        <row r="893">
          <cell r="B893" t="str">
            <v>EXP_Limpieza3.5_105</v>
          </cell>
          <cell r="C893" t="str">
            <v>0131763_PI_Piscina_Moroni</v>
          </cell>
          <cell r="D893" t="str">
            <v>M0824</v>
          </cell>
          <cell r="E893" t="str">
            <v>LIMPIEZA + ACTIVACION 3.5 2025</v>
          </cell>
          <cell r="F893" t="str">
            <v>Expansiones 3.5</v>
          </cell>
          <cell r="G893">
            <v>2026</v>
          </cell>
          <cell r="I893" t="str">
            <v>Nicole Aquino</v>
          </cell>
          <cell r="J893" t="str">
            <v>RFI</v>
          </cell>
          <cell r="K893">
            <v>46035</v>
          </cell>
        </row>
        <row r="894">
          <cell r="B894" t="str">
            <v>EXP_Limpieza3.5_106</v>
          </cell>
          <cell r="C894" t="str">
            <v>0131773_PI_Manco_Inca_Piura</v>
          </cell>
          <cell r="D894" t="str">
            <v>M0824</v>
          </cell>
          <cell r="E894" t="str">
            <v>LIMPIEZA + ACTIVACION 3.5 2025</v>
          </cell>
          <cell r="F894" t="str">
            <v>Expansiones 3.5</v>
          </cell>
          <cell r="G894">
            <v>2026</v>
          </cell>
          <cell r="I894" t="str">
            <v>Nicole Aquino</v>
          </cell>
          <cell r="J894" t="str">
            <v>RFI</v>
          </cell>
          <cell r="K894">
            <v>46035</v>
          </cell>
        </row>
        <row r="895">
          <cell r="B895" t="str">
            <v>EXP_Limpieza3.5_107</v>
          </cell>
          <cell r="C895" t="str">
            <v>0131788_PI_Vicus</v>
          </cell>
          <cell r="D895" t="str">
            <v>M0824</v>
          </cell>
          <cell r="E895" t="str">
            <v>LIMPIEZA + ACTIVACION 3.5 2025</v>
          </cell>
          <cell r="F895" t="str">
            <v>Expansiones 3.5</v>
          </cell>
          <cell r="G895">
            <v>2026</v>
          </cell>
          <cell r="I895" t="str">
            <v>Nicole Aquino</v>
          </cell>
          <cell r="J895" t="str">
            <v>RFI</v>
          </cell>
          <cell r="K895">
            <v>46035</v>
          </cell>
        </row>
        <row r="896">
          <cell r="B896" t="str">
            <v>EXP_Limpieza3.5_108</v>
          </cell>
          <cell r="C896" t="str">
            <v>0131790_PI_Quinta_Julia</v>
          </cell>
          <cell r="D896" t="str">
            <v>M0824</v>
          </cell>
          <cell r="E896" t="str">
            <v>LIMPIEZA + ACTIVACION 3.5 2025</v>
          </cell>
          <cell r="F896" t="str">
            <v>Expansiones 3.5</v>
          </cell>
          <cell r="G896">
            <v>2026</v>
          </cell>
          <cell r="I896" t="str">
            <v>Nicole Aquino</v>
          </cell>
          <cell r="J896" t="str">
            <v>RFI</v>
          </cell>
          <cell r="K896">
            <v>46035</v>
          </cell>
        </row>
        <row r="897">
          <cell r="B897" t="str">
            <v>EXP_Limpieza3.5_111</v>
          </cell>
          <cell r="C897" t="str">
            <v>0131872_PI_Calvo_Perez</v>
          </cell>
          <cell r="D897" t="str">
            <v>M0824</v>
          </cell>
          <cell r="E897" t="str">
            <v>LIMPIEZA + ACTIVACION 3.5 2025</v>
          </cell>
          <cell r="F897" t="str">
            <v>Expansiones 3.5</v>
          </cell>
          <cell r="G897">
            <v>2026</v>
          </cell>
          <cell r="I897" t="str">
            <v>Nicole Aquino</v>
          </cell>
          <cell r="J897" t="str">
            <v>RFI</v>
          </cell>
          <cell r="K897">
            <v>46035</v>
          </cell>
        </row>
        <row r="898">
          <cell r="B898" t="str">
            <v>EXP_Limpieza3.5_112</v>
          </cell>
          <cell r="C898" t="str">
            <v>0132223_LA_Ciro_Alegria_R1</v>
          </cell>
          <cell r="D898" t="str">
            <v>M0824</v>
          </cell>
          <cell r="E898" t="str">
            <v>LIMPIEZA + ACTIVACION 3.5 2025</v>
          </cell>
          <cell r="F898" t="str">
            <v>Expansiones 3.5</v>
          </cell>
          <cell r="G898">
            <v>2026</v>
          </cell>
          <cell r="I898" t="str">
            <v>Nicole Aquino</v>
          </cell>
          <cell r="J898" t="str">
            <v>RFI</v>
          </cell>
          <cell r="K898">
            <v>46035</v>
          </cell>
        </row>
        <row r="899">
          <cell r="B899" t="str">
            <v>EXP_Limpieza3.5_113</v>
          </cell>
          <cell r="C899" t="str">
            <v>0132329_AQ_Coscollo</v>
          </cell>
          <cell r="D899" t="str">
            <v>M0824</v>
          </cell>
          <cell r="E899" t="str">
            <v>LIMPIEZA + ACTIVACION 3.5 2025</v>
          </cell>
          <cell r="F899" t="str">
            <v>Expansiones 3.5</v>
          </cell>
          <cell r="G899">
            <v>2026</v>
          </cell>
          <cell r="I899" t="str">
            <v>Nicole Aquino</v>
          </cell>
          <cell r="J899" t="str">
            <v>RFI</v>
          </cell>
          <cell r="K899">
            <v>46035</v>
          </cell>
        </row>
        <row r="900">
          <cell r="B900" t="str">
            <v>EXP_Limpieza3.5_114</v>
          </cell>
          <cell r="C900" t="str">
            <v>0132401_LA_Santa_Elena</v>
          </cell>
          <cell r="D900" t="str">
            <v>M0824</v>
          </cell>
          <cell r="E900" t="str">
            <v>LIMPIEZA + ACTIVACION 3.5 2025</v>
          </cell>
          <cell r="F900" t="str">
            <v>Expansiones 3.5</v>
          </cell>
          <cell r="G900">
            <v>2026</v>
          </cell>
          <cell r="I900" t="str">
            <v>Nicole Aquino</v>
          </cell>
          <cell r="J900" t="str">
            <v>RFI</v>
          </cell>
          <cell r="K900">
            <v>46035</v>
          </cell>
        </row>
        <row r="901">
          <cell r="B901" t="str">
            <v>EXP_Limpieza3.5_115</v>
          </cell>
          <cell r="C901" t="str">
            <v>0132409_LA_Cementerio_El_Angel</v>
          </cell>
          <cell r="D901" t="str">
            <v>M0824</v>
          </cell>
          <cell r="E901" t="str">
            <v>LIMPIEZA + ACTIVACION 3.5 2025</v>
          </cell>
          <cell r="F901" t="str">
            <v>Expansiones 3.5</v>
          </cell>
          <cell r="G901">
            <v>2026</v>
          </cell>
          <cell r="I901" t="str">
            <v>Nicole Aquino</v>
          </cell>
          <cell r="J901" t="str">
            <v>RFI</v>
          </cell>
          <cell r="K901">
            <v>46035</v>
          </cell>
        </row>
        <row r="902">
          <cell r="B902" t="str">
            <v>EXP_Limpieza3.5_116</v>
          </cell>
          <cell r="C902" t="str">
            <v>0132416_LA_La_Primavera</v>
          </cell>
          <cell r="D902" t="str">
            <v>M0824</v>
          </cell>
          <cell r="E902" t="str">
            <v>LIMPIEZA + ACTIVACION 3.5 2025</v>
          </cell>
          <cell r="F902" t="str">
            <v>Expansiones 3.5</v>
          </cell>
          <cell r="G902">
            <v>2026</v>
          </cell>
          <cell r="I902" t="str">
            <v>Nicole Aquino</v>
          </cell>
          <cell r="J902" t="str">
            <v>RFI</v>
          </cell>
          <cell r="K902">
            <v>46035</v>
          </cell>
        </row>
        <row r="903">
          <cell r="B903" t="str">
            <v>EXP_Limpieza3.5_118</v>
          </cell>
          <cell r="C903" t="str">
            <v>013242513_LA_Maria_Izaga_R1</v>
          </cell>
          <cell r="D903" t="str">
            <v>M0824</v>
          </cell>
          <cell r="E903" t="str">
            <v>LIMPIEZA + ACTIVACION 3.5 2025</v>
          </cell>
          <cell r="F903" t="str">
            <v>Expansiones 3.5</v>
          </cell>
          <cell r="G903">
            <v>2026</v>
          </cell>
          <cell r="I903" t="str">
            <v>Nicole Aquino</v>
          </cell>
          <cell r="J903" t="str">
            <v>RFI</v>
          </cell>
          <cell r="K903">
            <v>46035</v>
          </cell>
        </row>
        <row r="904">
          <cell r="B904" t="str">
            <v>EXP_Limpieza3.5_119</v>
          </cell>
          <cell r="C904" t="str">
            <v>013252431_LM_Miguel_Iglesias_R1</v>
          </cell>
          <cell r="D904" t="str">
            <v>M0824</v>
          </cell>
          <cell r="E904" t="str">
            <v>LIMPIEZA + ACTIVACION 3.5 2025</v>
          </cell>
          <cell r="F904" t="str">
            <v>Expansiones 3.5</v>
          </cell>
          <cell r="G904">
            <v>2026</v>
          </cell>
          <cell r="I904" t="str">
            <v>Nicole Aquino</v>
          </cell>
          <cell r="J904" t="str">
            <v>RFI</v>
          </cell>
          <cell r="K904">
            <v>46035</v>
          </cell>
        </row>
        <row r="905">
          <cell r="B905" t="str">
            <v>EXP_Limpieza3.5_121</v>
          </cell>
          <cell r="C905" t="str">
            <v>0132627_TA_Zofratacna</v>
          </cell>
          <cell r="D905" t="str">
            <v>M0824</v>
          </cell>
          <cell r="E905" t="str">
            <v>LIMPIEZA + ACTIVACION 3.5 2025</v>
          </cell>
          <cell r="F905" t="str">
            <v>Expansiones 3.5</v>
          </cell>
          <cell r="G905">
            <v>2026</v>
          </cell>
          <cell r="I905" t="str">
            <v>Nicole Aquino</v>
          </cell>
          <cell r="J905" t="str">
            <v>RFI</v>
          </cell>
          <cell r="K905">
            <v>46035</v>
          </cell>
        </row>
        <row r="906">
          <cell r="B906" t="str">
            <v>EXP_Limpieza3.5_122</v>
          </cell>
          <cell r="C906" t="str">
            <v>0132630_LM_Gonzales_Prada_R1</v>
          </cell>
          <cell r="D906" t="str">
            <v>M0824</v>
          </cell>
          <cell r="E906" t="str">
            <v>LIMPIEZA + ACTIVACION 3.5 2025</v>
          </cell>
          <cell r="F906" t="str">
            <v>Expansiones 3.5</v>
          </cell>
          <cell r="G906">
            <v>2026</v>
          </cell>
          <cell r="I906" t="str">
            <v>Nicole Aquino</v>
          </cell>
          <cell r="J906" t="str">
            <v>RFI</v>
          </cell>
          <cell r="K906">
            <v>46035</v>
          </cell>
        </row>
        <row r="907">
          <cell r="B907" t="str">
            <v>EXP_Limpieza3.5_123</v>
          </cell>
          <cell r="C907" t="str">
            <v>0133011_PI_Alberto_Sanchez</v>
          </cell>
          <cell r="D907" t="str">
            <v>M0824</v>
          </cell>
          <cell r="E907" t="str">
            <v>LIMPIEZA + ACTIVACION 3.5 2025</v>
          </cell>
          <cell r="F907" t="str">
            <v>Expansiones 3.5</v>
          </cell>
          <cell r="G907">
            <v>2026</v>
          </cell>
          <cell r="I907" t="str">
            <v>Nicole Aquino</v>
          </cell>
          <cell r="J907" t="str">
            <v>RFI</v>
          </cell>
          <cell r="K907">
            <v>46035</v>
          </cell>
        </row>
        <row r="908">
          <cell r="B908" t="str">
            <v>EXP_Limpieza3.5_125</v>
          </cell>
          <cell r="C908" t="str">
            <v>013301692_PI_Clark_R1</v>
          </cell>
          <cell r="D908" t="str">
            <v>M0824</v>
          </cell>
          <cell r="E908" t="str">
            <v>LIMPIEZA + ACTIVACION 3.5 2025</v>
          </cell>
          <cell r="F908" t="str">
            <v>Expansiones 3.5</v>
          </cell>
          <cell r="G908">
            <v>2026</v>
          </cell>
          <cell r="I908" t="str">
            <v>Nicole Aquino</v>
          </cell>
          <cell r="J908" t="str">
            <v>RFI</v>
          </cell>
          <cell r="K908">
            <v>46035</v>
          </cell>
        </row>
        <row r="909">
          <cell r="B909" t="str">
            <v>EXP_Limpieza3.5_126</v>
          </cell>
          <cell r="C909" t="str">
            <v>0133074_PI_Villa_Talara</v>
          </cell>
          <cell r="D909" t="str">
            <v>M0824</v>
          </cell>
          <cell r="E909" t="str">
            <v>LIMPIEZA + ACTIVACION 3.5 2025</v>
          </cell>
          <cell r="F909" t="str">
            <v>Expansiones 3.5</v>
          </cell>
          <cell r="G909">
            <v>2026</v>
          </cell>
          <cell r="I909" t="str">
            <v>Nicole Aquino</v>
          </cell>
          <cell r="J909" t="str">
            <v>RFI</v>
          </cell>
          <cell r="K909">
            <v>46035</v>
          </cell>
        </row>
        <row r="910">
          <cell r="B910" t="str">
            <v>EXP_Limpieza3.5_127</v>
          </cell>
          <cell r="C910" t="str">
            <v>0133105_PI_Residencial_Piura</v>
          </cell>
          <cell r="D910" t="str">
            <v>M0824</v>
          </cell>
          <cell r="E910" t="str">
            <v>LIMPIEZA + ACTIVACION 3.5 2025</v>
          </cell>
          <cell r="F910" t="str">
            <v>Expansiones 3.5</v>
          </cell>
          <cell r="G910">
            <v>2026</v>
          </cell>
          <cell r="I910" t="str">
            <v>Nicole Aquino</v>
          </cell>
          <cell r="J910" t="str">
            <v>RFI</v>
          </cell>
          <cell r="K910">
            <v>46035</v>
          </cell>
        </row>
        <row r="911">
          <cell r="B911" t="str">
            <v>EXP_Limpieza3.5_129</v>
          </cell>
          <cell r="C911" t="str">
            <v>0133109_PI_Plazuela_Piura</v>
          </cell>
          <cell r="D911" t="str">
            <v>M0824</v>
          </cell>
          <cell r="E911" t="str">
            <v>LIMPIEZA + ACTIVACION 3.5 2025</v>
          </cell>
          <cell r="F911" t="str">
            <v>Expansiones 3.5</v>
          </cell>
          <cell r="G911">
            <v>2026</v>
          </cell>
          <cell r="I911" t="str">
            <v>Nicole Aquino</v>
          </cell>
          <cell r="J911" t="str">
            <v>RFI</v>
          </cell>
          <cell r="K911">
            <v>46035</v>
          </cell>
        </row>
        <row r="912">
          <cell r="B912" t="str">
            <v>EXP_Limpieza3.5_130</v>
          </cell>
          <cell r="C912" t="str">
            <v>0133112_PI_Nuevo_Sullana</v>
          </cell>
          <cell r="D912" t="str">
            <v>M0824</v>
          </cell>
          <cell r="E912" t="str">
            <v>LIMPIEZA + ACTIVACION 3.5 2025</v>
          </cell>
          <cell r="F912" t="str">
            <v>Expansiones 3.5</v>
          </cell>
          <cell r="G912">
            <v>2026</v>
          </cell>
          <cell r="I912" t="str">
            <v>Nicole Aquino</v>
          </cell>
          <cell r="J912" t="str">
            <v>RFI</v>
          </cell>
          <cell r="K912">
            <v>46035</v>
          </cell>
        </row>
        <row r="913">
          <cell r="B913" t="str">
            <v>EXP_Limpieza3.5_131</v>
          </cell>
          <cell r="C913" t="str">
            <v>0133113_PI_Villa_Luciana</v>
          </cell>
          <cell r="D913" t="str">
            <v>M0824</v>
          </cell>
          <cell r="E913" t="str">
            <v>LIMPIEZA + ACTIVACION 3.5 2025</v>
          </cell>
          <cell r="F913" t="str">
            <v>Expansiones 3.5</v>
          </cell>
          <cell r="G913">
            <v>2026</v>
          </cell>
          <cell r="I913" t="str">
            <v>Nicole Aquino</v>
          </cell>
          <cell r="J913" t="str">
            <v>RFI</v>
          </cell>
          <cell r="K913">
            <v>46035</v>
          </cell>
        </row>
        <row r="914">
          <cell r="B914" t="str">
            <v>EXP_Limpieza3.5_132</v>
          </cell>
          <cell r="C914" t="str">
            <v>0133114_PI_Ovalo_Sullana</v>
          </cell>
          <cell r="D914" t="str">
            <v>M0824</v>
          </cell>
          <cell r="E914" t="str">
            <v>LIMPIEZA + ACTIVACION 3.5 2025</v>
          </cell>
          <cell r="F914" t="str">
            <v>Expansiones 3.5</v>
          </cell>
          <cell r="G914">
            <v>2026</v>
          </cell>
          <cell r="I914" t="str">
            <v>Nicole Aquino</v>
          </cell>
          <cell r="J914" t="str">
            <v>RFI</v>
          </cell>
          <cell r="K914">
            <v>46035</v>
          </cell>
        </row>
        <row r="915">
          <cell r="B915" t="str">
            <v>EXP_Limpieza3.5_133</v>
          </cell>
          <cell r="C915" t="str">
            <v>0133116_PI_Terminal_Sullana</v>
          </cell>
          <cell r="D915" t="str">
            <v>M0824</v>
          </cell>
          <cell r="E915" t="str">
            <v>LIMPIEZA + ACTIVACION 3.5 2025</v>
          </cell>
          <cell r="F915" t="str">
            <v>Expansiones 3.5</v>
          </cell>
          <cell r="G915">
            <v>2026</v>
          </cell>
          <cell r="I915" t="str">
            <v>Nicole Aquino</v>
          </cell>
          <cell r="J915" t="str">
            <v>RFI</v>
          </cell>
          <cell r="K915">
            <v>46035</v>
          </cell>
        </row>
        <row r="916">
          <cell r="B916" t="str">
            <v>EXP_Limpieza3.5_134</v>
          </cell>
          <cell r="C916" t="str">
            <v>0133125_PI_Circunvalacion_Obre</v>
          </cell>
          <cell r="D916" t="str">
            <v>M0824</v>
          </cell>
          <cell r="E916" t="str">
            <v>LIMPIEZA + ACTIVACION 3.5 2025</v>
          </cell>
          <cell r="F916" t="str">
            <v>Expansiones 3.5</v>
          </cell>
          <cell r="G916">
            <v>2026</v>
          </cell>
          <cell r="I916" t="str">
            <v>Nicole Aquino</v>
          </cell>
          <cell r="J916" t="str">
            <v>RFI</v>
          </cell>
          <cell r="K916">
            <v>46035</v>
          </cell>
        </row>
        <row r="917">
          <cell r="B917" t="str">
            <v>EXP_Limpieza3.5_135</v>
          </cell>
          <cell r="C917" t="str">
            <v>0133130_PI_Municipalidad_Sulla</v>
          </cell>
          <cell r="D917" t="str">
            <v>M0824</v>
          </cell>
          <cell r="E917" t="str">
            <v>LIMPIEZA + ACTIVACION 3.5 2025</v>
          </cell>
          <cell r="F917" t="str">
            <v>Expansiones 3.5</v>
          </cell>
          <cell r="G917">
            <v>2026</v>
          </cell>
          <cell r="I917" t="str">
            <v>Nicole Aquino</v>
          </cell>
          <cell r="J917" t="str">
            <v>RFI</v>
          </cell>
          <cell r="K917">
            <v>46035</v>
          </cell>
        </row>
        <row r="918">
          <cell r="B918" t="str">
            <v>EXP_Limpieza3.5_136</v>
          </cell>
          <cell r="C918" t="str">
            <v>0133133_PI_Campeones_Del_36</v>
          </cell>
          <cell r="D918" t="str">
            <v>M0824</v>
          </cell>
          <cell r="E918" t="str">
            <v>LIMPIEZA + ACTIVACION 3.5 2025</v>
          </cell>
          <cell r="F918" t="str">
            <v>Expansiones 3.5</v>
          </cell>
          <cell r="G918">
            <v>2026</v>
          </cell>
          <cell r="I918" t="str">
            <v>Nicole Aquino</v>
          </cell>
          <cell r="J918" t="str">
            <v>RFI</v>
          </cell>
          <cell r="K918">
            <v>46035</v>
          </cell>
        </row>
        <row r="919">
          <cell r="B919" t="str">
            <v>EXP_Limpieza3.5_137</v>
          </cell>
          <cell r="C919" t="str">
            <v>0133148_PI_Chulucanas_Ciudad</v>
          </cell>
          <cell r="D919" t="str">
            <v>M0824</v>
          </cell>
          <cell r="E919" t="str">
            <v>LIMPIEZA + ACTIVACION 3.5 2025</v>
          </cell>
          <cell r="F919" t="str">
            <v>Expansiones 3.5</v>
          </cell>
          <cell r="G919">
            <v>2026</v>
          </cell>
          <cell r="I919" t="str">
            <v>Nicole Aquino</v>
          </cell>
          <cell r="J919" t="str">
            <v>RFI</v>
          </cell>
          <cell r="K919">
            <v>46035</v>
          </cell>
        </row>
        <row r="920">
          <cell r="B920" t="str">
            <v>EXP_Limpieza3.5_138</v>
          </cell>
          <cell r="C920" t="str">
            <v>0133161_PI_Los_Geranios</v>
          </cell>
          <cell r="D920" t="str">
            <v>M0824</v>
          </cell>
          <cell r="E920" t="str">
            <v>LIMPIEZA + ACTIVACION 3.5 2025</v>
          </cell>
          <cell r="F920" t="str">
            <v>Expansiones 3.5</v>
          </cell>
          <cell r="G920">
            <v>2026</v>
          </cell>
          <cell r="I920" t="str">
            <v>Nicole Aquino</v>
          </cell>
          <cell r="J920" t="str">
            <v>RFI</v>
          </cell>
          <cell r="K920">
            <v>46035</v>
          </cell>
        </row>
        <row r="921">
          <cell r="B921" t="str">
            <v>EXP_Limpieza3.5_139</v>
          </cell>
          <cell r="C921" t="str">
            <v>0133175_PI_Paita_Otf</v>
          </cell>
          <cell r="D921" t="str">
            <v>M0824</v>
          </cell>
          <cell r="E921" t="str">
            <v>LIMPIEZA + ACTIVACION 3.5 2025</v>
          </cell>
          <cell r="F921" t="str">
            <v>Expansiones 3.5</v>
          </cell>
          <cell r="G921">
            <v>2026</v>
          </cell>
          <cell r="I921" t="str">
            <v>Nicole Aquino</v>
          </cell>
          <cell r="J921" t="str">
            <v>RFI</v>
          </cell>
          <cell r="K921">
            <v>46035</v>
          </cell>
        </row>
        <row r="922">
          <cell r="B922" t="str">
            <v>EXP_Limpieza3.5_141</v>
          </cell>
          <cell r="C922" t="str">
            <v>0133235_PI_Castilla_Grau</v>
          </cell>
          <cell r="D922" t="str">
            <v>M0824</v>
          </cell>
          <cell r="E922" t="str">
            <v>LIMPIEZA + ACTIVACION 3.5 2025</v>
          </cell>
          <cell r="F922" t="str">
            <v>Expansiones 3.5</v>
          </cell>
          <cell r="G922">
            <v>2026</v>
          </cell>
          <cell r="I922" t="str">
            <v>Nicole Aquino</v>
          </cell>
          <cell r="J922" t="str">
            <v>RFI</v>
          </cell>
          <cell r="K922">
            <v>46035</v>
          </cell>
        </row>
        <row r="923">
          <cell r="B923" t="str">
            <v>EXP_Limpieza3.5_142</v>
          </cell>
          <cell r="C923" t="str">
            <v>0133268_PI_Alejandro_Taboada</v>
          </cell>
          <cell r="D923" t="str">
            <v>M0824</v>
          </cell>
          <cell r="E923" t="str">
            <v>LIMPIEZA + ACTIVACION 3.5 2025</v>
          </cell>
          <cell r="F923" t="str">
            <v>Expansiones 3.5</v>
          </cell>
          <cell r="G923">
            <v>2026</v>
          </cell>
          <cell r="I923" t="str">
            <v>Nicole Aquino</v>
          </cell>
          <cell r="J923" t="str">
            <v>RFI</v>
          </cell>
          <cell r="K923">
            <v>46035</v>
          </cell>
        </row>
        <row r="924">
          <cell r="B924" t="str">
            <v>EXP_Limpieza3.5_143</v>
          </cell>
          <cell r="C924" t="str">
            <v>0133280_PI_El_Alto_Ciudad</v>
          </cell>
          <cell r="D924" t="str">
            <v>M0824</v>
          </cell>
          <cell r="E924" t="str">
            <v>LIMPIEZA + ACTIVACION 3.5 2025</v>
          </cell>
          <cell r="F924" t="str">
            <v>Expansiones 3.5</v>
          </cell>
          <cell r="G924">
            <v>2026</v>
          </cell>
          <cell r="I924" t="str">
            <v>Nicole Aquino</v>
          </cell>
          <cell r="J924" t="str">
            <v>RFI</v>
          </cell>
          <cell r="K924">
            <v>46035</v>
          </cell>
        </row>
        <row r="925">
          <cell r="B925" t="str">
            <v>EXP_Limpieza3.5_144</v>
          </cell>
          <cell r="C925" t="str">
            <v>0133281_PI_Ejidos</v>
          </cell>
          <cell r="D925" t="str">
            <v>M0824</v>
          </cell>
          <cell r="E925" t="str">
            <v>LIMPIEZA + ACTIVACION 3.5 2025</v>
          </cell>
          <cell r="F925" t="str">
            <v>Expansiones 3.5</v>
          </cell>
          <cell r="G925">
            <v>2026</v>
          </cell>
          <cell r="I925" t="str">
            <v>Nicole Aquino</v>
          </cell>
          <cell r="J925" t="str">
            <v>RFI</v>
          </cell>
          <cell r="K925">
            <v>46035</v>
          </cell>
        </row>
        <row r="926">
          <cell r="B926" t="str">
            <v>EXP_Limpieza3.5_145</v>
          </cell>
          <cell r="C926" t="str">
            <v>0133282_PI_Curumuy</v>
          </cell>
          <cell r="D926" t="str">
            <v>M0824</v>
          </cell>
          <cell r="E926" t="str">
            <v>LIMPIEZA + ACTIVACION 3.5 2025</v>
          </cell>
          <cell r="F926" t="str">
            <v>Expansiones 3.5</v>
          </cell>
          <cell r="G926">
            <v>2026</v>
          </cell>
          <cell r="I926" t="str">
            <v>Nicole Aquino</v>
          </cell>
          <cell r="J926" t="str">
            <v>RFI</v>
          </cell>
          <cell r="K926">
            <v>46035</v>
          </cell>
        </row>
        <row r="927">
          <cell r="B927" t="str">
            <v>EXP_Limpieza3.5_146</v>
          </cell>
          <cell r="C927" t="str">
            <v>013341628_TU_Juan_De_Dios</v>
          </cell>
          <cell r="D927" t="str">
            <v>M0824</v>
          </cell>
          <cell r="E927" t="str">
            <v>LIMPIEZA + ACTIVACION 3.5 2025</v>
          </cell>
          <cell r="F927" t="str">
            <v>Expansiones 3.5</v>
          </cell>
          <cell r="G927">
            <v>2026</v>
          </cell>
          <cell r="I927" t="str">
            <v>Nicole Aquino</v>
          </cell>
          <cell r="J927" t="str">
            <v>RFI</v>
          </cell>
          <cell r="K927">
            <v>46035</v>
          </cell>
        </row>
        <row r="928">
          <cell r="B928" t="str">
            <v>EXP_Limpieza3.5_147</v>
          </cell>
          <cell r="C928" t="str">
            <v>0133800_AQ_Sidsur_Arequipa</v>
          </cell>
          <cell r="D928" t="str">
            <v>M0824</v>
          </cell>
          <cell r="E928" t="str">
            <v>LIMPIEZA + ACTIVACION 3.5 2025</v>
          </cell>
          <cell r="F928" t="str">
            <v>Expansiones 3.5</v>
          </cell>
          <cell r="G928">
            <v>2026</v>
          </cell>
          <cell r="I928" t="str">
            <v>Nicole Aquino</v>
          </cell>
          <cell r="J928" t="str">
            <v>RFI</v>
          </cell>
          <cell r="K928">
            <v>46035</v>
          </cell>
        </row>
        <row r="929">
          <cell r="B929" t="str">
            <v>EXP_Limpieza3.5_148</v>
          </cell>
          <cell r="C929" t="str">
            <v>0133807_AQ_Pedro_Diez_Canseco</v>
          </cell>
          <cell r="D929" t="str">
            <v>M0824</v>
          </cell>
          <cell r="E929" t="str">
            <v>LIMPIEZA + ACTIVACION 3.5 2025</v>
          </cell>
          <cell r="F929" t="str">
            <v>Expansiones 3.5</v>
          </cell>
          <cell r="G929">
            <v>2026</v>
          </cell>
          <cell r="I929" t="str">
            <v>Nicole Aquino</v>
          </cell>
          <cell r="J929" t="str">
            <v>RFI</v>
          </cell>
          <cell r="K929">
            <v>46035</v>
          </cell>
        </row>
        <row r="930">
          <cell r="B930" t="str">
            <v>EXP_Limpieza3.5_149</v>
          </cell>
          <cell r="C930" t="str">
            <v>0133808_AQ_Bancarios_Arequipa</v>
          </cell>
          <cell r="D930" t="str">
            <v>M0824</v>
          </cell>
          <cell r="E930" t="str">
            <v>LIMPIEZA + ACTIVACION 3.5 2025</v>
          </cell>
          <cell r="F930" t="str">
            <v>Expansiones 3.5</v>
          </cell>
          <cell r="G930">
            <v>2026</v>
          </cell>
          <cell r="I930" t="str">
            <v>Nicole Aquino</v>
          </cell>
          <cell r="J930" t="str">
            <v>RFI</v>
          </cell>
          <cell r="K930">
            <v>46035</v>
          </cell>
        </row>
        <row r="931">
          <cell r="B931" t="str">
            <v>EXP_Limpieza3.5_150</v>
          </cell>
          <cell r="C931" t="str">
            <v>0133810_AQ_Ovalo_Vidaurra</v>
          </cell>
          <cell r="D931" t="str">
            <v>M0824</v>
          </cell>
          <cell r="E931" t="str">
            <v>LIMPIEZA + ACTIVACION 3.5 2025</v>
          </cell>
          <cell r="F931" t="str">
            <v>Expansiones 3.5</v>
          </cell>
          <cell r="G931">
            <v>2026</v>
          </cell>
          <cell r="I931" t="str">
            <v>Nicole Aquino</v>
          </cell>
          <cell r="J931" t="str">
            <v>RFI</v>
          </cell>
          <cell r="K931">
            <v>46035</v>
          </cell>
        </row>
        <row r="932">
          <cell r="B932" t="str">
            <v>EXP_Limpieza3.5_152</v>
          </cell>
          <cell r="C932" t="str">
            <v>0133917_AQ_Calle_Manchego</v>
          </cell>
          <cell r="D932" t="str">
            <v>M0824</v>
          </cell>
          <cell r="E932" t="str">
            <v>LIMPIEZA + ACTIVACION 3.5 2025</v>
          </cell>
          <cell r="F932" t="str">
            <v>Expansiones 3.5</v>
          </cell>
          <cell r="G932">
            <v>2026</v>
          </cell>
          <cell r="I932" t="str">
            <v>Nicole Aquino</v>
          </cell>
          <cell r="J932" t="str">
            <v>RFI</v>
          </cell>
          <cell r="K932">
            <v>46035</v>
          </cell>
        </row>
        <row r="933">
          <cell r="B933" t="str">
            <v>EXP_Limpieza3.5_153</v>
          </cell>
          <cell r="C933" t="str">
            <v>0133931_AQ_Zamacola_Centro</v>
          </cell>
          <cell r="D933" t="str">
            <v>M0824</v>
          </cell>
          <cell r="E933" t="str">
            <v>LIMPIEZA + ACTIVACION 3.5 2025</v>
          </cell>
          <cell r="F933" t="str">
            <v>Expansiones 3.5</v>
          </cell>
          <cell r="G933">
            <v>2026</v>
          </cell>
          <cell r="I933" t="str">
            <v>Nicole Aquino</v>
          </cell>
          <cell r="J933" t="str">
            <v>RFI</v>
          </cell>
          <cell r="K933">
            <v>46035</v>
          </cell>
        </row>
        <row r="934">
          <cell r="B934" t="str">
            <v>EXP_Limpieza3.5_155</v>
          </cell>
          <cell r="C934" t="str">
            <v>0133937_AQ_Los_Ciruelos</v>
          </cell>
          <cell r="D934" t="str">
            <v>M0824</v>
          </cell>
          <cell r="E934" t="str">
            <v>LIMPIEZA + ACTIVACION 3.5 2025</v>
          </cell>
          <cell r="F934" t="str">
            <v>Expansiones 3.5</v>
          </cell>
          <cell r="G934">
            <v>2026</v>
          </cell>
          <cell r="I934" t="str">
            <v>Nicole Aquino</v>
          </cell>
          <cell r="J934" t="str">
            <v>RFI</v>
          </cell>
          <cell r="K934">
            <v>46035</v>
          </cell>
        </row>
        <row r="935">
          <cell r="B935" t="str">
            <v>EXP_Limpieza3.5_156</v>
          </cell>
          <cell r="C935" t="str">
            <v>0133953_AQ_Soldearequipa</v>
          </cell>
          <cell r="D935" t="str">
            <v>M0824</v>
          </cell>
          <cell r="E935" t="str">
            <v>LIMPIEZA + ACTIVACION 3.5 2025</v>
          </cell>
          <cell r="F935" t="str">
            <v>Expansiones 3.5</v>
          </cell>
          <cell r="G935">
            <v>2026</v>
          </cell>
          <cell r="I935" t="str">
            <v>Nicole Aquino</v>
          </cell>
          <cell r="J935" t="str">
            <v>RFI</v>
          </cell>
          <cell r="K935">
            <v>46035</v>
          </cell>
        </row>
        <row r="936">
          <cell r="B936" t="str">
            <v>EXP_Limpieza3.5_157</v>
          </cell>
          <cell r="C936" t="str">
            <v>0133959_AQ_Las_Palmeras_Aqp</v>
          </cell>
          <cell r="D936" t="str">
            <v>M0824</v>
          </cell>
          <cell r="E936" t="str">
            <v>LIMPIEZA + ACTIVACION 3.5 2025</v>
          </cell>
          <cell r="F936" t="str">
            <v>Expansiones 3.5</v>
          </cell>
          <cell r="G936">
            <v>2026</v>
          </cell>
          <cell r="I936" t="str">
            <v>Nicole Aquino</v>
          </cell>
          <cell r="J936" t="str">
            <v>RFI</v>
          </cell>
          <cell r="K936">
            <v>46035</v>
          </cell>
        </row>
        <row r="937">
          <cell r="B937" t="str">
            <v>EXP_Limpieza3.5_158</v>
          </cell>
          <cell r="C937" t="str">
            <v>0133962_AQ_Carla_Franco</v>
          </cell>
          <cell r="D937" t="str">
            <v>M0824</v>
          </cell>
          <cell r="E937" t="str">
            <v>LIMPIEZA + ACTIVACION 3.5 2025</v>
          </cell>
          <cell r="F937" t="str">
            <v>Expansiones 3.5</v>
          </cell>
          <cell r="G937">
            <v>2026</v>
          </cell>
          <cell r="I937" t="str">
            <v>Nicole Aquino</v>
          </cell>
          <cell r="J937" t="str">
            <v>RFI</v>
          </cell>
          <cell r="K937">
            <v>46035</v>
          </cell>
        </row>
        <row r="938">
          <cell r="B938" t="str">
            <v>EXP_Limpieza3.5_161</v>
          </cell>
          <cell r="C938" t="str">
            <v>0134083_AQ_Caballero_Mares</v>
          </cell>
          <cell r="D938" t="str">
            <v>M0824</v>
          </cell>
          <cell r="E938" t="str">
            <v>LIMPIEZA + ACTIVACION 3.5 2025</v>
          </cell>
          <cell r="F938" t="str">
            <v>Expansiones 3.5</v>
          </cell>
          <cell r="G938">
            <v>2026</v>
          </cell>
          <cell r="I938" t="str">
            <v>Nicole Aquino</v>
          </cell>
          <cell r="J938" t="str">
            <v>RFI</v>
          </cell>
          <cell r="K938">
            <v>46035</v>
          </cell>
        </row>
        <row r="939">
          <cell r="B939" t="str">
            <v>EXP_Limpieza3.5_163</v>
          </cell>
          <cell r="C939" t="str">
            <v>0134100_LI_Calle_26</v>
          </cell>
          <cell r="D939" t="str">
            <v>M0824</v>
          </cell>
          <cell r="E939" t="str">
            <v>LIMPIEZA + ACTIVACION 3.5 2025</v>
          </cell>
          <cell r="F939" t="str">
            <v>Expansiones 3.5</v>
          </cell>
          <cell r="G939">
            <v>2026</v>
          </cell>
          <cell r="I939" t="str">
            <v>Nicole Aquino</v>
          </cell>
          <cell r="J939" t="str">
            <v>RFI</v>
          </cell>
          <cell r="K939">
            <v>46035</v>
          </cell>
        </row>
        <row r="940">
          <cell r="B940" t="str">
            <v>EXP_Limpieza3.5_164</v>
          </cell>
          <cell r="C940" t="str">
            <v>0134101_LI_El_Cairo</v>
          </cell>
          <cell r="D940" t="str">
            <v>M0824</v>
          </cell>
          <cell r="E940" t="str">
            <v>LIMPIEZA + ACTIVACION 3.5 2025</v>
          </cell>
          <cell r="F940" t="str">
            <v>Expansiones 3.5</v>
          </cell>
          <cell r="G940">
            <v>2026</v>
          </cell>
          <cell r="I940" t="str">
            <v>Nicole Aquino</v>
          </cell>
          <cell r="J940" t="str">
            <v>RFI</v>
          </cell>
          <cell r="K940">
            <v>46035</v>
          </cell>
        </row>
        <row r="941">
          <cell r="B941" t="str">
            <v>EXP_Limpieza3.5_165</v>
          </cell>
          <cell r="C941" t="str">
            <v>0134122_LI_Alisos_Del_Bosque</v>
          </cell>
          <cell r="D941" t="str">
            <v>M0824</v>
          </cell>
          <cell r="E941" t="str">
            <v>LIMPIEZA + ACTIVACION 3.5 2025</v>
          </cell>
          <cell r="F941" t="str">
            <v>Expansiones 3.5</v>
          </cell>
          <cell r="G941">
            <v>2026</v>
          </cell>
          <cell r="I941" t="str">
            <v>Nicole Aquino</v>
          </cell>
          <cell r="J941" t="str">
            <v>RFI</v>
          </cell>
          <cell r="K941">
            <v>46035</v>
          </cell>
        </row>
        <row r="942">
          <cell r="B942" t="str">
            <v>EXP_Limpieza3.5_166</v>
          </cell>
          <cell r="C942" t="str">
            <v>0134124_LI_Parque_Olivar</v>
          </cell>
          <cell r="D942" t="str">
            <v>M0824</v>
          </cell>
          <cell r="E942" t="str">
            <v>LIMPIEZA + ACTIVACION 3.5 2025</v>
          </cell>
          <cell r="F942" t="str">
            <v>Expansiones 3.5</v>
          </cell>
          <cell r="G942">
            <v>2026</v>
          </cell>
          <cell r="I942" t="str">
            <v>Nicole Aquino</v>
          </cell>
          <cell r="J942" t="str">
            <v>RFI</v>
          </cell>
          <cell r="K942">
            <v>46035</v>
          </cell>
        </row>
        <row r="943">
          <cell r="B943" t="str">
            <v>EXP_Limpieza3.5_167</v>
          </cell>
          <cell r="C943" t="str">
            <v>0134126_LI_Libertad</v>
          </cell>
          <cell r="D943" t="str">
            <v>M0824</v>
          </cell>
          <cell r="E943" t="str">
            <v>LIMPIEZA + ACTIVACION 3.5 2025</v>
          </cell>
          <cell r="F943" t="str">
            <v>Expansiones 3.5</v>
          </cell>
          <cell r="G943">
            <v>2026</v>
          </cell>
          <cell r="I943" t="str">
            <v>Nicole Aquino</v>
          </cell>
          <cell r="J943" t="str">
            <v>RFI</v>
          </cell>
          <cell r="K943">
            <v>46035</v>
          </cell>
        </row>
        <row r="944">
          <cell r="B944" t="str">
            <v>EXP_Limpieza3.5_168</v>
          </cell>
          <cell r="C944" t="str">
            <v>0134127_LI_Los_Incas_Trujillo</v>
          </cell>
          <cell r="D944" t="str">
            <v>M0824</v>
          </cell>
          <cell r="E944" t="str">
            <v>LIMPIEZA + ACTIVACION 3.5 2025</v>
          </cell>
          <cell r="F944" t="str">
            <v>Expansiones 3.5</v>
          </cell>
          <cell r="G944">
            <v>2026</v>
          </cell>
          <cell r="I944" t="str">
            <v>Nicole Aquino</v>
          </cell>
          <cell r="J944" t="str">
            <v>RFI</v>
          </cell>
          <cell r="K944">
            <v>46035</v>
          </cell>
        </row>
        <row r="945">
          <cell r="B945" t="str">
            <v>EXP_Limpieza3.5_169</v>
          </cell>
          <cell r="C945" t="str">
            <v>0134137_LI_Razuri_Trujillo</v>
          </cell>
          <cell r="D945" t="str">
            <v>M0824</v>
          </cell>
          <cell r="E945" t="str">
            <v>LIMPIEZA + ACTIVACION 3.5 2025</v>
          </cell>
          <cell r="F945" t="str">
            <v>Expansiones 3.5</v>
          </cell>
          <cell r="G945">
            <v>2026</v>
          </cell>
          <cell r="I945" t="str">
            <v>Nicole Aquino</v>
          </cell>
          <cell r="J945" t="str">
            <v>RFI</v>
          </cell>
          <cell r="K945">
            <v>46035</v>
          </cell>
        </row>
        <row r="946">
          <cell r="B946" t="str">
            <v>EXP_Limpieza3.5_170</v>
          </cell>
          <cell r="C946" t="str">
            <v>0134141_LI_Jesus_De_Nazareth</v>
          </cell>
          <cell r="D946" t="str">
            <v>M0824</v>
          </cell>
          <cell r="E946" t="str">
            <v>LIMPIEZA + ACTIVACION 3.5 2025</v>
          </cell>
          <cell r="F946" t="str">
            <v>Expansiones 3.5</v>
          </cell>
          <cell r="G946">
            <v>2026</v>
          </cell>
          <cell r="I946" t="str">
            <v>Nicole Aquino</v>
          </cell>
          <cell r="J946" t="str">
            <v>RFI</v>
          </cell>
          <cell r="K946">
            <v>46035</v>
          </cell>
        </row>
        <row r="947">
          <cell r="B947" t="str">
            <v>EXP_Limpieza3.5_171</v>
          </cell>
          <cell r="C947" t="str">
            <v>0134146_LI_Alto_Mochica</v>
          </cell>
          <cell r="D947" t="str">
            <v>M0824</v>
          </cell>
          <cell r="E947" t="str">
            <v>LIMPIEZA + ACTIVACION 3.5 2025</v>
          </cell>
          <cell r="F947" t="str">
            <v>Expansiones 3.5</v>
          </cell>
          <cell r="G947">
            <v>2026</v>
          </cell>
          <cell r="I947" t="str">
            <v>Nicole Aquino</v>
          </cell>
          <cell r="J947" t="str">
            <v>RFI</v>
          </cell>
          <cell r="K947">
            <v>46035</v>
          </cell>
        </row>
        <row r="948">
          <cell r="B948" t="str">
            <v>EXP_Limpieza3.5_172</v>
          </cell>
          <cell r="C948" t="str">
            <v>0134147_LI_Esperanza_Baja</v>
          </cell>
          <cell r="D948" t="str">
            <v>M0824</v>
          </cell>
          <cell r="E948" t="str">
            <v>LIMPIEZA + ACTIVACION 3.5 2025</v>
          </cell>
          <cell r="F948" t="str">
            <v>Expansiones 3.5</v>
          </cell>
          <cell r="G948">
            <v>2026</v>
          </cell>
          <cell r="I948" t="str">
            <v>Nicole Aquino</v>
          </cell>
          <cell r="J948" t="str">
            <v>RFI</v>
          </cell>
          <cell r="K948">
            <v>46035</v>
          </cell>
        </row>
        <row r="949">
          <cell r="B949" t="str">
            <v>EXP_Limpieza3.5_173</v>
          </cell>
          <cell r="C949" t="str">
            <v>0134154_LI_Hermilio_Valdizan</v>
          </cell>
          <cell r="D949" t="str">
            <v>M0824</v>
          </cell>
          <cell r="E949" t="str">
            <v>LIMPIEZA + ACTIVACION 3.5 2025</v>
          </cell>
          <cell r="F949" t="str">
            <v>Expansiones 3.5</v>
          </cell>
          <cell r="G949">
            <v>2026</v>
          </cell>
          <cell r="I949" t="str">
            <v>Nicole Aquino</v>
          </cell>
          <cell r="J949" t="str">
            <v>RFI</v>
          </cell>
          <cell r="K949">
            <v>46035</v>
          </cell>
        </row>
        <row r="950">
          <cell r="B950" t="str">
            <v>EXP_Limpieza3.5_174</v>
          </cell>
          <cell r="C950" t="str">
            <v>0134167_LI_America_Del_Norte</v>
          </cell>
          <cell r="D950" t="str">
            <v>M0824</v>
          </cell>
          <cell r="E950" t="str">
            <v>LIMPIEZA + ACTIVACION 3.5 2025</v>
          </cell>
          <cell r="F950" t="str">
            <v>Expansiones 3.5</v>
          </cell>
          <cell r="G950">
            <v>2026</v>
          </cell>
          <cell r="I950" t="str">
            <v>Nicole Aquino</v>
          </cell>
          <cell r="J950" t="str">
            <v>RFI</v>
          </cell>
          <cell r="K950">
            <v>46035</v>
          </cell>
        </row>
        <row r="951">
          <cell r="B951" t="str">
            <v>EXP_Limpieza3.5_175</v>
          </cell>
          <cell r="C951" t="str">
            <v>0134168_LI_Mar_Picante</v>
          </cell>
          <cell r="D951" t="str">
            <v>M0824</v>
          </cell>
          <cell r="E951" t="str">
            <v>LIMPIEZA + ACTIVACION 3.5 2025</v>
          </cell>
          <cell r="F951" t="str">
            <v>Expansiones 3.5</v>
          </cell>
          <cell r="G951">
            <v>2026</v>
          </cell>
          <cell r="I951" t="str">
            <v>Nicole Aquino</v>
          </cell>
          <cell r="J951" t="str">
            <v>RFI</v>
          </cell>
          <cell r="K951">
            <v>46035</v>
          </cell>
        </row>
        <row r="952">
          <cell r="B952" t="str">
            <v>EXP_Limpieza3.5_176</v>
          </cell>
          <cell r="C952" t="str">
            <v>0134171_LI_Fco_De_Paula</v>
          </cell>
          <cell r="D952" t="str">
            <v>M0824</v>
          </cell>
          <cell r="E952" t="str">
            <v>LIMPIEZA + ACTIVACION 3.5 2025</v>
          </cell>
          <cell r="F952" t="str">
            <v>Expansiones 3.5</v>
          </cell>
          <cell r="G952">
            <v>2026</v>
          </cell>
          <cell r="I952" t="str">
            <v>Nicole Aquino</v>
          </cell>
          <cell r="J952" t="str">
            <v>RFI</v>
          </cell>
          <cell r="K952">
            <v>46035</v>
          </cell>
        </row>
        <row r="953">
          <cell r="B953" t="str">
            <v>EXP_Limpieza3.5_177</v>
          </cell>
          <cell r="C953" t="str">
            <v>0134172_LI_General_Astoy</v>
          </cell>
          <cell r="D953" t="str">
            <v>M0824</v>
          </cell>
          <cell r="E953" t="str">
            <v>LIMPIEZA + ACTIVACION 3.5 2025</v>
          </cell>
          <cell r="F953" t="str">
            <v>Expansiones 3.5</v>
          </cell>
          <cell r="G953">
            <v>2026</v>
          </cell>
          <cell r="I953" t="str">
            <v>Nicole Aquino</v>
          </cell>
          <cell r="J953" t="str">
            <v>RFI</v>
          </cell>
          <cell r="K953">
            <v>46035</v>
          </cell>
        </row>
        <row r="954">
          <cell r="B954" t="str">
            <v>EXP_Limpieza3.5_178</v>
          </cell>
          <cell r="C954" t="str">
            <v>0134175_LI_Sol_Y_Brisa</v>
          </cell>
          <cell r="D954" t="str">
            <v>M0824</v>
          </cell>
          <cell r="E954" t="str">
            <v>LIMPIEZA + ACTIVACION 3.5 2025</v>
          </cell>
          <cell r="F954" t="str">
            <v>Expansiones 3.5</v>
          </cell>
          <cell r="G954">
            <v>2026</v>
          </cell>
          <cell r="I954" t="str">
            <v>Nicole Aquino</v>
          </cell>
          <cell r="J954" t="str">
            <v>RFI</v>
          </cell>
          <cell r="K954">
            <v>46035</v>
          </cell>
        </row>
        <row r="955">
          <cell r="B955" t="str">
            <v>EXP_Limpieza3.5_179</v>
          </cell>
          <cell r="C955" t="str">
            <v>0134204_LI_Andres_Razuri</v>
          </cell>
          <cell r="D955" t="str">
            <v>M0824</v>
          </cell>
          <cell r="E955" t="str">
            <v>LIMPIEZA + ACTIVACION 3.5 2025</v>
          </cell>
          <cell r="F955" t="str">
            <v>Expansiones 3.5</v>
          </cell>
          <cell r="G955">
            <v>2026</v>
          </cell>
          <cell r="I955" t="str">
            <v>Nicole Aquino</v>
          </cell>
          <cell r="J955" t="str">
            <v>RFI</v>
          </cell>
          <cell r="K955">
            <v>46035</v>
          </cell>
        </row>
        <row r="956">
          <cell r="B956" t="str">
            <v>EXP_Limpieza3.5_184</v>
          </cell>
          <cell r="C956" t="str">
            <v>0134577_LM_Aguarico_R1</v>
          </cell>
          <cell r="D956" t="str">
            <v>M0824</v>
          </cell>
          <cell r="E956" t="str">
            <v>LIMPIEZA + ACTIVACION 3.5 2025</v>
          </cell>
          <cell r="F956" t="str">
            <v>Expansiones 3.5</v>
          </cell>
          <cell r="G956">
            <v>2026</v>
          </cell>
          <cell r="I956" t="str">
            <v>Nicole Aquino</v>
          </cell>
          <cell r="J956" t="str">
            <v>RFI</v>
          </cell>
          <cell r="K956">
            <v>46035</v>
          </cell>
        </row>
        <row r="957">
          <cell r="B957" t="str">
            <v>EXP_Limpieza3.5_185</v>
          </cell>
          <cell r="C957" t="str">
            <v>0135213_LM_Chacra_Rios</v>
          </cell>
          <cell r="D957" t="str">
            <v>M0824</v>
          </cell>
          <cell r="E957" t="str">
            <v>LIMPIEZA + ACTIVACION 3.5 2025</v>
          </cell>
          <cell r="F957" t="str">
            <v>Expansiones 3.5</v>
          </cell>
          <cell r="G957">
            <v>2026</v>
          </cell>
          <cell r="I957" t="str">
            <v>Nicole Aquino</v>
          </cell>
          <cell r="J957" t="str">
            <v>RFI</v>
          </cell>
          <cell r="K957">
            <v>46035</v>
          </cell>
        </row>
        <row r="958">
          <cell r="B958" t="str">
            <v>EXP_Limpieza3.5_186</v>
          </cell>
          <cell r="C958" t="str">
            <v>0135219_LM_Plaza_Francia</v>
          </cell>
          <cell r="D958" t="str">
            <v>M0824</v>
          </cell>
          <cell r="E958" t="str">
            <v>LIMPIEZA + ACTIVACION 3.5 2025</v>
          </cell>
          <cell r="F958" t="str">
            <v>Expansiones 3.5</v>
          </cell>
          <cell r="G958">
            <v>2026</v>
          </cell>
          <cell r="I958" t="str">
            <v>Nicole Aquino</v>
          </cell>
          <cell r="J958" t="str">
            <v>RFI</v>
          </cell>
          <cell r="K958">
            <v>46035</v>
          </cell>
        </row>
        <row r="959">
          <cell r="B959" t="str">
            <v>EXP_Limpieza3.5_187</v>
          </cell>
          <cell r="C959" t="str">
            <v>0135738_LM_El_Comercio</v>
          </cell>
          <cell r="D959" t="str">
            <v>M0824</v>
          </cell>
          <cell r="E959" t="str">
            <v>LIMPIEZA + ACTIVACION 3.5 2025</v>
          </cell>
          <cell r="F959" t="str">
            <v>Expansiones 3.5</v>
          </cell>
          <cell r="G959">
            <v>2026</v>
          </cell>
          <cell r="I959" t="str">
            <v>Nicole Aquino</v>
          </cell>
          <cell r="J959" t="str">
            <v>RFI</v>
          </cell>
          <cell r="K959">
            <v>46035</v>
          </cell>
        </row>
        <row r="960">
          <cell r="B960" t="str">
            <v>EXP_Limpieza3.5_188</v>
          </cell>
          <cell r="C960" t="str">
            <v>0136045_LM_Torre_Fibra</v>
          </cell>
          <cell r="D960" t="str">
            <v>M0824</v>
          </cell>
          <cell r="E960" t="str">
            <v>LIMPIEZA + ACTIVACION 3.5 2025</v>
          </cell>
          <cell r="F960" t="str">
            <v>Expansiones 3.5</v>
          </cell>
          <cell r="G960">
            <v>2026</v>
          </cell>
          <cell r="I960" t="str">
            <v>Nicole Aquino</v>
          </cell>
          <cell r="J960" t="str">
            <v>RFI</v>
          </cell>
          <cell r="K960">
            <v>46035</v>
          </cell>
        </row>
        <row r="961">
          <cell r="B961" t="str">
            <v>EXP_Limpieza3.5_191</v>
          </cell>
          <cell r="C961" t="str">
            <v>0136321_LM_Plaza_Murillo</v>
          </cell>
          <cell r="D961" t="str">
            <v>M0824</v>
          </cell>
          <cell r="E961" t="str">
            <v>LIMPIEZA + ACTIVACION 3.5 2025</v>
          </cell>
          <cell r="F961" t="str">
            <v>Expansiones 3.5</v>
          </cell>
          <cell r="G961">
            <v>2026</v>
          </cell>
          <cell r="I961" t="str">
            <v>Nicole Aquino</v>
          </cell>
          <cell r="J961" t="str">
            <v>RFI</v>
          </cell>
          <cell r="K961">
            <v>46035</v>
          </cell>
        </row>
        <row r="962">
          <cell r="B962" t="str">
            <v>EXP_Limpieza3.5_192</v>
          </cell>
          <cell r="C962" t="str">
            <v>0136322_LM_Ovalo_Brena</v>
          </cell>
          <cell r="D962" t="str">
            <v>M0824</v>
          </cell>
          <cell r="E962" t="str">
            <v>LIMPIEZA + ACTIVACION 3.5 2025</v>
          </cell>
          <cell r="F962" t="str">
            <v>Expansiones 3.5</v>
          </cell>
          <cell r="G962">
            <v>2026</v>
          </cell>
          <cell r="I962" t="str">
            <v>Nicole Aquino</v>
          </cell>
          <cell r="J962" t="str">
            <v>RFI</v>
          </cell>
          <cell r="K962">
            <v>46035</v>
          </cell>
        </row>
        <row r="963">
          <cell r="B963" t="str">
            <v>EXP_Limpieza3.5_193</v>
          </cell>
          <cell r="C963" t="str">
            <v>0136323_LM_Desamparados</v>
          </cell>
          <cell r="D963" t="str">
            <v>M0824</v>
          </cell>
          <cell r="E963" t="str">
            <v>LIMPIEZA + ACTIVACION 3.5 2025</v>
          </cell>
          <cell r="F963" t="str">
            <v>Expansiones 3.5</v>
          </cell>
          <cell r="G963">
            <v>2026</v>
          </cell>
          <cell r="I963" t="str">
            <v>Nicole Aquino</v>
          </cell>
          <cell r="J963" t="str">
            <v>RFI</v>
          </cell>
          <cell r="K963">
            <v>46035</v>
          </cell>
        </row>
        <row r="964">
          <cell r="B964" t="str">
            <v>EXP_Limpieza3.5_194</v>
          </cell>
          <cell r="C964" t="str">
            <v>0136325_LM_Ovalo_Varela</v>
          </cell>
          <cell r="D964" t="str">
            <v>M0824</v>
          </cell>
          <cell r="E964" t="str">
            <v>LIMPIEZA + ACTIVACION 3.5 2025</v>
          </cell>
          <cell r="F964" t="str">
            <v>Expansiones 3.5</v>
          </cell>
          <cell r="G964">
            <v>2026</v>
          </cell>
          <cell r="I964" t="str">
            <v>Nicole Aquino</v>
          </cell>
          <cell r="J964" t="str">
            <v>RFI</v>
          </cell>
          <cell r="K964">
            <v>46035</v>
          </cell>
        </row>
        <row r="965">
          <cell r="B965" t="str">
            <v>EXP_Limpieza3.5_195</v>
          </cell>
          <cell r="C965" t="str">
            <v>0136326_LM_Pastaza</v>
          </cell>
          <cell r="D965" t="str">
            <v>M0824</v>
          </cell>
          <cell r="E965" t="str">
            <v>LIMPIEZA + ACTIVACION 3.5 2025</v>
          </cell>
          <cell r="F965" t="str">
            <v>Expansiones 3.5</v>
          </cell>
          <cell r="G965">
            <v>2026</v>
          </cell>
          <cell r="I965" t="str">
            <v>Nicole Aquino</v>
          </cell>
          <cell r="J965" t="str">
            <v>RFI</v>
          </cell>
          <cell r="K965">
            <v>46035</v>
          </cell>
        </row>
        <row r="966">
          <cell r="B966" t="str">
            <v>EXP_Limpieza3.5_196</v>
          </cell>
          <cell r="C966" t="str">
            <v>0136327_LM_Geosam</v>
          </cell>
          <cell r="D966" t="str">
            <v>M0824</v>
          </cell>
          <cell r="E966" t="str">
            <v>LIMPIEZA + ACTIVACION 3.5 2025</v>
          </cell>
          <cell r="F966" t="str">
            <v>Expansiones 3.5</v>
          </cell>
          <cell r="G966">
            <v>2026</v>
          </cell>
          <cell r="I966" t="str">
            <v>Nicole Aquino</v>
          </cell>
          <cell r="J966" t="str">
            <v>RFI</v>
          </cell>
          <cell r="K966">
            <v>46035</v>
          </cell>
        </row>
        <row r="967">
          <cell r="B967" t="str">
            <v>EXP_Limpieza3.5_197</v>
          </cell>
          <cell r="C967" t="str">
            <v>0130092_LM_La_Punta</v>
          </cell>
          <cell r="D967" t="str">
            <v>M0824</v>
          </cell>
          <cell r="E967" t="str">
            <v>LIMPIEZA + ACTIVACION 3.5 2025</v>
          </cell>
          <cell r="F967" t="str">
            <v>Expansiones 3.5</v>
          </cell>
          <cell r="G967">
            <v>2026</v>
          </cell>
          <cell r="I967" t="str">
            <v>Nicole Aquino</v>
          </cell>
          <cell r="J967" t="str">
            <v>RFI</v>
          </cell>
          <cell r="K967">
            <v>46035</v>
          </cell>
        </row>
        <row r="968">
          <cell r="B968" t="str">
            <v>EXP_Limpieza3.5_198</v>
          </cell>
          <cell r="C968" t="str">
            <v>0136337_LM_Plaza_Matriz</v>
          </cell>
          <cell r="D968" t="str">
            <v>M0824</v>
          </cell>
          <cell r="E968" t="str">
            <v>LIMPIEZA + ACTIVACION 3.5 2025</v>
          </cell>
          <cell r="F968" t="str">
            <v>Expansiones 3.5</v>
          </cell>
          <cell r="G968">
            <v>2026</v>
          </cell>
          <cell r="I968" t="str">
            <v>Nicole Aquino</v>
          </cell>
          <cell r="J968" t="str">
            <v>RFI</v>
          </cell>
          <cell r="K968">
            <v>46035</v>
          </cell>
        </row>
        <row r="969">
          <cell r="B969" t="str">
            <v>EXP_Limpieza3.5_199</v>
          </cell>
          <cell r="C969" t="str">
            <v>0130744_AN_Pasaje_Esmeralda</v>
          </cell>
          <cell r="D969" t="str">
            <v>M0824</v>
          </cell>
          <cell r="E969" t="str">
            <v>LIMPIEZA + ACTIVACION 3.5 2025</v>
          </cell>
          <cell r="F969" t="str">
            <v>Expansiones 3.5</v>
          </cell>
          <cell r="G969">
            <v>2026</v>
          </cell>
          <cell r="I969" t="str">
            <v>Nicole Aquino</v>
          </cell>
          <cell r="J969" t="str">
            <v>RFI</v>
          </cell>
          <cell r="K969">
            <v>46035</v>
          </cell>
        </row>
        <row r="970">
          <cell r="B970" t="str">
            <v>EXP_Limpieza3.5_200</v>
          </cell>
          <cell r="C970" t="str">
            <v xml:space="preserve">0130293_LM_CC_Chacarilla </v>
          </cell>
          <cell r="D970" t="str">
            <v>M0824</v>
          </cell>
          <cell r="E970" t="str">
            <v>LIMPIEZA + ACTIVACION 3.5 2025</v>
          </cell>
          <cell r="F970" t="str">
            <v>Expansiones 3.5</v>
          </cell>
          <cell r="G970">
            <v>2026</v>
          </cell>
          <cell r="I970" t="str">
            <v>Nicole Aquino</v>
          </cell>
          <cell r="J970" t="str">
            <v>RFI</v>
          </cell>
          <cell r="K970">
            <v>46035</v>
          </cell>
        </row>
        <row r="971">
          <cell r="B971" t="str">
            <v>MAC_COIEspectro_1</v>
          </cell>
          <cell r="C971" t="str">
            <v>FZ_00189</v>
          </cell>
          <cell r="D971" t="str">
            <v>M0839</v>
          </cell>
          <cell r="E971" t="str">
            <v>COI ESPECTRO 2026</v>
          </cell>
          <cell r="F971" t="str">
            <v>Sitios Nuevos 3.5</v>
          </cell>
          <cell r="G971">
            <v>2026</v>
          </cell>
          <cell r="I971" t="str">
            <v>Roy Bocanegra</v>
          </cell>
          <cell r="J971" t="str">
            <v>Cancelado</v>
          </cell>
          <cell r="K971">
            <v>46035</v>
          </cell>
        </row>
        <row r="972">
          <cell r="B972" t="str">
            <v>MAC_COIEspectro_2</v>
          </cell>
          <cell r="C972" t="str">
            <v>FZ_00110</v>
          </cell>
          <cell r="D972" t="str">
            <v>M0839</v>
          </cell>
          <cell r="E972" t="str">
            <v>COI ESPECTRO 2026</v>
          </cell>
          <cell r="F972" t="str">
            <v>Sitios Nuevos 3.5</v>
          </cell>
          <cell r="G972">
            <v>2026</v>
          </cell>
          <cell r="I972" t="str">
            <v>Roy Bocanegra</v>
          </cell>
          <cell r="J972" t="str">
            <v>Cancelado</v>
          </cell>
          <cell r="K972">
            <v>46035</v>
          </cell>
        </row>
        <row r="973">
          <cell r="B973" t="str">
            <v>MAC_COIEspectro_3</v>
          </cell>
          <cell r="C973" t="str">
            <v>FZ_00063</v>
          </cell>
          <cell r="D973" t="str">
            <v>M0839</v>
          </cell>
          <cell r="E973" t="str">
            <v>COI ESPECTRO 2026</v>
          </cell>
          <cell r="F973" t="str">
            <v>Sitios Nuevos 3.5</v>
          </cell>
          <cell r="G973">
            <v>2026</v>
          </cell>
          <cell r="I973" t="str">
            <v>Roy Bocanegra</v>
          </cell>
          <cell r="J973" t="str">
            <v>Cancelado</v>
          </cell>
          <cell r="K973">
            <v>46035</v>
          </cell>
        </row>
        <row r="974">
          <cell r="B974" t="str">
            <v>MAC_COIEspectro_4</v>
          </cell>
          <cell r="C974" t="str">
            <v>FZ_00669</v>
          </cell>
          <cell r="D974" t="str">
            <v>M0839</v>
          </cell>
          <cell r="E974" t="str">
            <v>COI ESPECTRO 2026</v>
          </cell>
          <cell r="F974" t="str">
            <v>Sitios Nuevos 3.5</v>
          </cell>
          <cell r="G974">
            <v>2026</v>
          </cell>
          <cell r="I974" t="str">
            <v>Roy Bocanegra</v>
          </cell>
          <cell r="J974" t="str">
            <v>Cancelado</v>
          </cell>
          <cell r="K974">
            <v>46035</v>
          </cell>
        </row>
        <row r="975">
          <cell r="B975" t="str">
            <v>MAC_COIEspectro_5</v>
          </cell>
          <cell r="C975" t="str">
            <v>JHG_00014</v>
          </cell>
          <cell r="D975" t="str">
            <v>M0839</v>
          </cell>
          <cell r="E975" t="str">
            <v>COI ESPECTRO 2026</v>
          </cell>
          <cell r="F975" t="str">
            <v>Sitios Nuevos 3.5</v>
          </cell>
          <cell r="G975">
            <v>2026</v>
          </cell>
          <cell r="I975" t="str">
            <v>Roy Bocanegra</v>
          </cell>
          <cell r="J975" t="str">
            <v>Cancelado</v>
          </cell>
          <cell r="K975">
            <v>46035</v>
          </cell>
        </row>
        <row r="976">
          <cell r="B976" t="str">
            <v>MAC_COIEspectro_6</v>
          </cell>
          <cell r="C976" t="str">
            <v>FZ_01745</v>
          </cell>
          <cell r="D976" t="str">
            <v>M0839</v>
          </cell>
          <cell r="E976" t="str">
            <v>COI ESPECTRO 2026</v>
          </cell>
          <cell r="F976" t="str">
            <v>Sitios Nuevos 3.5</v>
          </cell>
          <cell r="G976">
            <v>2026</v>
          </cell>
          <cell r="I976" t="str">
            <v>Roy Bocanegra</v>
          </cell>
          <cell r="J976" t="str">
            <v>Cancelado</v>
          </cell>
          <cell r="K976">
            <v>46035</v>
          </cell>
        </row>
        <row r="977">
          <cell r="B977" t="str">
            <v>MAC_COIEspectro_7</v>
          </cell>
          <cell r="C977" t="str">
            <v>FZ_00264</v>
          </cell>
          <cell r="D977" t="str">
            <v>M0839</v>
          </cell>
          <cell r="E977" t="str">
            <v>COI ESPECTRO 2026</v>
          </cell>
          <cell r="F977" t="str">
            <v>Sitios Nuevos 3.5</v>
          </cell>
          <cell r="G977">
            <v>2026</v>
          </cell>
          <cell r="H977" t="str">
            <v>Actualizar</v>
          </cell>
          <cell r="I977" t="str">
            <v>Roy Bocanegra</v>
          </cell>
          <cell r="J977" t="str">
            <v>En Saneamiento</v>
          </cell>
          <cell r="K977">
            <v>46035</v>
          </cell>
        </row>
        <row r="978">
          <cell r="B978" t="str">
            <v>MAC_COIEspectro_8</v>
          </cell>
          <cell r="C978" t="str">
            <v>FZ_00265</v>
          </cell>
          <cell r="D978" t="str">
            <v>M0839</v>
          </cell>
          <cell r="E978" t="str">
            <v>COI ESPECTRO 2026</v>
          </cell>
          <cell r="F978" t="str">
            <v>Sitios Nuevos 3.5</v>
          </cell>
          <cell r="G978">
            <v>2026</v>
          </cell>
          <cell r="H978" t="str">
            <v>Actualizar</v>
          </cell>
          <cell r="I978" t="str">
            <v>Roy Bocanegra</v>
          </cell>
          <cell r="J978" t="str">
            <v>En Saneamiento</v>
          </cell>
          <cell r="K978">
            <v>46035</v>
          </cell>
        </row>
        <row r="979">
          <cell r="B979" t="str">
            <v>MAC_COIEspectro_9</v>
          </cell>
          <cell r="C979" t="str">
            <v>FZ_00266</v>
          </cell>
          <cell r="D979" t="str">
            <v>M0839</v>
          </cell>
          <cell r="E979" t="str">
            <v>COI ESPECTRO 2026</v>
          </cell>
          <cell r="F979" t="str">
            <v>Sitios Nuevos 3.5</v>
          </cell>
          <cell r="G979">
            <v>2026</v>
          </cell>
          <cell r="H979" t="str">
            <v>Actualizar</v>
          </cell>
          <cell r="I979" t="str">
            <v>Roy Bocanegra</v>
          </cell>
          <cell r="J979" t="str">
            <v>En Saneamiento</v>
          </cell>
          <cell r="K979">
            <v>46035</v>
          </cell>
        </row>
        <row r="980">
          <cell r="B980" t="str">
            <v>MAC_COIEspectro_10</v>
          </cell>
          <cell r="C980" t="str">
            <v>LS_00063</v>
          </cell>
          <cell r="D980" t="str">
            <v>M0839</v>
          </cell>
          <cell r="E980" t="str">
            <v>COI ESPECTRO 2026</v>
          </cell>
          <cell r="F980" t="str">
            <v>Sitios Nuevos 3.5</v>
          </cell>
          <cell r="G980">
            <v>2026</v>
          </cell>
          <cell r="H980" t="str">
            <v>Actualizar</v>
          </cell>
          <cell r="I980" t="str">
            <v>Roy Bocanegra</v>
          </cell>
          <cell r="J980" t="str">
            <v>En Búsqueda</v>
          </cell>
          <cell r="K980">
            <v>46035</v>
          </cell>
        </row>
        <row r="981">
          <cell r="B981" t="str">
            <v>MAC_COIEspectro_11</v>
          </cell>
          <cell r="C981" t="str">
            <v>RA_00026</v>
          </cell>
          <cell r="D981" t="str">
            <v>M0839</v>
          </cell>
          <cell r="E981" t="str">
            <v>COI ESPECTRO 2026</v>
          </cell>
          <cell r="F981" t="str">
            <v>Sitios Nuevos 3.5</v>
          </cell>
          <cell r="G981">
            <v>2026</v>
          </cell>
          <cell r="H981" t="str">
            <v>Actualizar</v>
          </cell>
          <cell r="I981" t="str">
            <v>Roy Bocanegra</v>
          </cell>
          <cell r="J981" t="str">
            <v>En Validación</v>
          </cell>
          <cell r="K981">
            <v>46035</v>
          </cell>
        </row>
        <row r="982">
          <cell r="B982" t="str">
            <v>MAC_COIEspectro_12</v>
          </cell>
          <cell r="C982" t="str">
            <v>DE_00238</v>
          </cell>
          <cell r="D982" t="str">
            <v>M0839</v>
          </cell>
          <cell r="E982" t="str">
            <v>COI ESPECTRO 2026</v>
          </cell>
          <cell r="F982" t="str">
            <v>Sitios Nuevos 3.5</v>
          </cell>
          <cell r="G982">
            <v>2026</v>
          </cell>
          <cell r="H982" t="str">
            <v>Actualizar</v>
          </cell>
          <cell r="I982" t="str">
            <v>Roy Bocanegra</v>
          </cell>
          <cell r="J982" t="str">
            <v>En Búsqueda</v>
          </cell>
          <cell r="K982">
            <v>46035</v>
          </cell>
        </row>
        <row r="983">
          <cell r="B983" t="str">
            <v>MAC_COIEspectro_13</v>
          </cell>
          <cell r="C983" t="str">
            <v>01026211_LO_Petropolis</v>
          </cell>
          <cell r="D983" t="str">
            <v>M0839</v>
          </cell>
          <cell r="E983" t="str">
            <v>COI ESPECTRO 2026</v>
          </cell>
          <cell r="F983" t="str">
            <v>Sitios Nuevos 3.5</v>
          </cell>
          <cell r="G983">
            <v>2026</v>
          </cell>
          <cell r="H983" t="str">
            <v>Actualizar</v>
          </cell>
          <cell r="I983" t="str">
            <v>Roy Bocanegra</v>
          </cell>
          <cell r="J983" t="str">
            <v>En Validación</v>
          </cell>
          <cell r="K983">
            <v>46035</v>
          </cell>
        </row>
        <row r="984">
          <cell r="B984" t="str">
            <v>MAC_COIEspectro_14</v>
          </cell>
          <cell r="C984" t="str">
            <v>JHG_00535</v>
          </cell>
          <cell r="D984" t="str">
            <v>M0839</v>
          </cell>
          <cell r="E984" t="str">
            <v>COI ESPECTRO 2026</v>
          </cell>
          <cell r="F984" t="str">
            <v>Sitios Nuevos 3.5</v>
          </cell>
          <cell r="G984">
            <v>2026</v>
          </cell>
          <cell r="H984" t="str">
            <v>Actualizar</v>
          </cell>
          <cell r="I984" t="str">
            <v>Roy Bocanegra</v>
          </cell>
          <cell r="J984" t="str">
            <v>En Saneamiento</v>
          </cell>
          <cell r="K984">
            <v>46035</v>
          </cell>
        </row>
        <row r="985">
          <cell r="B985" t="str">
            <v>MAC_COIEspectro_15</v>
          </cell>
          <cell r="C985" t="str">
            <v>FZ_01469</v>
          </cell>
          <cell r="D985" t="str">
            <v>M0839</v>
          </cell>
          <cell r="E985" t="str">
            <v>COI ESPECTRO 2026</v>
          </cell>
          <cell r="F985" t="str">
            <v>Sitios Nuevos 3.5</v>
          </cell>
          <cell r="G985">
            <v>2026</v>
          </cell>
          <cell r="H985" t="str">
            <v>Actualizar</v>
          </cell>
          <cell r="I985" t="str">
            <v>Roy Bocanegra</v>
          </cell>
          <cell r="J985" t="str">
            <v>En Validación</v>
          </cell>
          <cell r="K985">
            <v>46035</v>
          </cell>
        </row>
        <row r="986">
          <cell r="B986" t="str">
            <v>MAC_COIEspectro_16</v>
          </cell>
          <cell r="C986" t="str">
            <v>FZ_01218</v>
          </cell>
          <cell r="D986" t="str">
            <v>M0839</v>
          </cell>
          <cell r="E986" t="str">
            <v>COI ESPECTRO 2026</v>
          </cell>
          <cell r="F986" t="str">
            <v>Sitios Nuevos 3.5</v>
          </cell>
          <cell r="G986">
            <v>2026</v>
          </cell>
          <cell r="H986" t="str">
            <v>Actualizar</v>
          </cell>
          <cell r="I986" t="str">
            <v>Roy Bocanegra</v>
          </cell>
          <cell r="J986" t="str">
            <v>En Validación</v>
          </cell>
          <cell r="K986">
            <v>46035</v>
          </cell>
        </row>
        <row r="987">
          <cell r="B987" t="str">
            <v>MAC_COIEspectro_17</v>
          </cell>
          <cell r="C987" t="str">
            <v>010134330_AP_Peaje_30apurimac</v>
          </cell>
          <cell r="D987" t="str">
            <v>M0839</v>
          </cell>
          <cell r="E987" t="str">
            <v>COI ESPECTRO 2026</v>
          </cell>
          <cell r="F987" t="str">
            <v>Sitios Nuevos 3.5</v>
          </cell>
          <cell r="G987">
            <v>2026</v>
          </cell>
          <cell r="H987" t="str">
            <v>Actualizar</v>
          </cell>
          <cell r="I987" t="str">
            <v>Roy Bocanegra</v>
          </cell>
          <cell r="J987" t="str">
            <v>En Saneamiento</v>
          </cell>
          <cell r="K987">
            <v>46035</v>
          </cell>
        </row>
        <row r="988">
          <cell r="B988" t="str">
            <v>MAC_COIEspectro_18</v>
          </cell>
          <cell r="C988" t="str">
            <v>DE_00070</v>
          </cell>
          <cell r="D988" t="str">
            <v>M0839</v>
          </cell>
          <cell r="E988" t="str">
            <v>COI ESPECTRO 2026</v>
          </cell>
          <cell r="F988" t="str">
            <v>Sitios Nuevos 3.5</v>
          </cell>
          <cell r="G988">
            <v>2026</v>
          </cell>
          <cell r="H988" t="str">
            <v>Actualizar</v>
          </cell>
          <cell r="I988" t="str">
            <v>Roy Bocanegra</v>
          </cell>
          <cell r="J988" t="str">
            <v>En Saneamiento</v>
          </cell>
          <cell r="K988">
            <v>46035</v>
          </cell>
        </row>
        <row r="989">
          <cell r="B989" t="str">
            <v>MAC_COIEspectro_19</v>
          </cell>
          <cell r="C989" t="str">
            <v>010185298_CS_Carretera_altokiteni</v>
          </cell>
          <cell r="D989" t="str">
            <v>M0839</v>
          </cell>
          <cell r="E989" t="str">
            <v>COI ESPECTRO 2026</v>
          </cell>
          <cell r="F989" t="str">
            <v>Sitios Nuevos 3.5</v>
          </cell>
          <cell r="G989">
            <v>2026</v>
          </cell>
          <cell r="H989" t="str">
            <v>Actualizar</v>
          </cell>
          <cell r="I989" t="str">
            <v>Roy Bocanegra</v>
          </cell>
          <cell r="J989" t="str">
            <v>En Saneamiento</v>
          </cell>
          <cell r="K989">
            <v>46035</v>
          </cell>
        </row>
        <row r="990">
          <cell r="B990" t="str">
            <v>MAC_COIEspectro_20</v>
          </cell>
          <cell r="C990" t="str">
            <v>010185283_CS_Kamanquiriato</v>
          </cell>
          <cell r="D990" t="str">
            <v>M0839</v>
          </cell>
          <cell r="E990" t="str">
            <v>COI ESPECTRO 2026</v>
          </cell>
          <cell r="F990" t="str">
            <v>Sitios Nuevos 3.5</v>
          </cell>
          <cell r="G990">
            <v>2026</v>
          </cell>
          <cell r="H990" t="str">
            <v>Actualizar</v>
          </cell>
          <cell r="I990" t="str">
            <v>Roy Bocanegra</v>
          </cell>
          <cell r="J990" t="str">
            <v>En Saneamiento</v>
          </cell>
          <cell r="K990">
            <v>46035</v>
          </cell>
        </row>
        <row r="991">
          <cell r="B991" t="str">
            <v>MAC_COIEspectro_21</v>
          </cell>
          <cell r="C991" t="str">
            <v>AA_00024</v>
          </cell>
          <cell r="D991" t="str">
            <v>M0839</v>
          </cell>
          <cell r="E991" t="str">
            <v>COI ESPECTRO 2026</v>
          </cell>
          <cell r="F991" t="str">
            <v>Sitios Nuevos 3.5</v>
          </cell>
          <cell r="G991">
            <v>2026</v>
          </cell>
          <cell r="H991" t="str">
            <v>Actualizar</v>
          </cell>
          <cell r="I991" t="str">
            <v>Roy Bocanegra</v>
          </cell>
          <cell r="J991" t="str">
            <v>En Saneamiento</v>
          </cell>
          <cell r="K991">
            <v>46035</v>
          </cell>
        </row>
        <row r="992">
          <cell r="B992" t="str">
            <v>MAC_COIEspectro_22</v>
          </cell>
          <cell r="C992" t="str">
            <v>FZ_00011</v>
          </cell>
          <cell r="D992" t="str">
            <v>M0839</v>
          </cell>
          <cell r="E992" t="str">
            <v>COI ESPECTRO 2026</v>
          </cell>
          <cell r="F992" t="str">
            <v>Sitios Nuevos 3.5</v>
          </cell>
          <cell r="G992">
            <v>2026</v>
          </cell>
          <cell r="H992" t="str">
            <v>Actualizar</v>
          </cell>
          <cell r="I992" t="str">
            <v>Roy Bocanegra</v>
          </cell>
          <cell r="J992" t="str">
            <v>En Saneamiento</v>
          </cell>
          <cell r="K992">
            <v>46035</v>
          </cell>
        </row>
        <row r="993">
          <cell r="B993" t="str">
            <v>MAC_COIEspectro_23</v>
          </cell>
          <cell r="C993" t="str">
            <v>FZ_00075</v>
          </cell>
          <cell r="D993" t="str">
            <v>M0839</v>
          </cell>
          <cell r="E993" t="str">
            <v>COI ESPECTRO 2026</v>
          </cell>
          <cell r="F993" t="str">
            <v>Sitios Nuevos 3.5</v>
          </cell>
          <cell r="G993">
            <v>2026</v>
          </cell>
          <cell r="H993" t="str">
            <v>Actualizar</v>
          </cell>
          <cell r="I993" t="str">
            <v>Roy Bocanegra</v>
          </cell>
          <cell r="J993" t="str">
            <v>En Saneamiento</v>
          </cell>
          <cell r="K993">
            <v>46035</v>
          </cell>
        </row>
        <row r="994">
          <cell r="B994" t="str">
            <v>MAC_COIEspectro_24</v>
          </cell>
          <cell r="C994" t="str">
            <v>FZ_00528</v>
          </cell>
          <cell r="D994" t="str">
            <v>M0839</v>
          </cell>
          <cell r="E994" t="str">
            <v>COI ESPECTRO 2026</v>
          </cell>
          <cell r="F994" t="str">
            <v>Sitios Nuevos 3.5</v>
          </cell>
          <cell r="G994">
            <v>2026</v>
          </cell>
          <cell r="H994" t="str">
            <v>Actualizar</v>
          </cell>
          <cell r="I994" t="str">
            <v>Roy Bocanegra</v>
          </cell>
          <cell r="J994" t="str">
            <v>En Saneamiento</v>
          </cell>
          <cell r="K994">
            <v>46035</v>
          </cell>
        </row>
        <row r="995">
          <cell r="B995" t="str">
            <v>MAC_COIEspectro_25</v>
          </cell>
          <cell r="C995" t="str">
            <v>JH_00290</v>
          </cell>
          <cell r="D995" t="str">
            <v>M0839</v>
          </cell>
          <cell r="E995" t="str">
            <v>COI ESPECTRO 2026</v>
          </cell>
          <cell r="F995" t="str">
            <v>Sitios Nuevos 3.5</v>
          </cell>
          <cell r="G995">
            <v>2026</v>
          </cell>
          <cell r="H995" t="str">
            <v>Actualizar</v>
          </cell>
          <cell r="I995" t="str">
            <v>Roy Bocanegra</v>
          </cell>
          <cell r="J995" t="str">
            <v>En Saneamiento</v>
          </cell>
          <cell r="K995">
            <v>46035</v>
          </cell>
        </row>
        <row r="996">
          <cell r="B996" t="str">
            <v>MAC_COIEspectro_26</v>
          </cell>
          <cell r="C996" t="str">
            <v>01026155_LO_Nueva_Galilea</v>
          </cell>
          <cell r="D996" t="str">
            <v>M0839</v>
          </cell>
          <cell r="E996" t="str">
            <v>COI ESPECTRO 2026</v>
          </cell>
          <cell r="F996" t="str">
            <v>Sitios Nuevos 3.5</v>
          </cell>
          <cell r="G996">
            <v>2026</v>
          </cell>
          <cell r="H996" t="str">
            <v>Actualizar</v>
          </cell>
          <cell r="I996" t="str">
            <v>Roy Bocanegra</v>
          </cell>
          <cell r="J996" t="str">
            <v>En Saneamiento</v>
          </cell>
          <cell r="K996">
            <v>46035</v>
          </cell>
        </row>
        <row r="997">
          <cell r="B997" t="str">
            <v>MAC_COIEspectro_27</v>
          </cell>
          <cell r="C997" t="str">
            <v>01026205_LO_Nvo_Villaluz</v>
          </cell>
          <cell r="D997" t="str">
            <v>M0839</v>
          </cell>
          <cell r="E997" t="str">
            <v>COI ESPECTRO 2026</v>
          </cell>
          <cell r="F997" t="str">
            <v>Sitios Nuevos 3.5</v>
          </cell>
          <cell r="G997">
            <v>2026</v>
          </cell>
          <cell r="H997" t="str">
            <v>Actualizar</v>
          </cell>
          <cell r="I997" t="str">
            <v>Roy Bocanegra</v>
          </cell>
          <cell r="J997" t="str">
            <v>En Saneamiento</v>
          </cell>
          <cell r="K997">
            <v>46035</v>
          </cell>
        </row>
        <row r="998">
          <cell r="B998" t="str">
            <v>MAC_COIEspectro_28</v>
          </cell>
          <cell r="C998" t="str">
            <v>01026229_LO_Sjd_Cacao</v>
          </cell>
          <cell r="D998" t="str">
            <v>M0839</v>
          </cell>
          <cell r="E998" t="str">
            <v>COI ESPECTRO 2026</v>
          </cell>
          <cell r="F998" t="str">
            <v>Sitios Nuevos 3.5</v>
          </cell>
          <cell r="G998">
            <v>2026</v>
          </cell>
          <cell r="H998" t="str">
            <v>Actualizar</v>
          </cell>
          <cell r="I998" t="str">
            <v>Roy Bocanegra</v>
          </cell>
          <cell r="J998" t="str">
            <v>En Saneamiento</v>
          </cell>
          <cell r="K998">
            <v>46035</v>
          </cell>
        </row>
        <row r="999">
          <cell r="B999" t="str">
            <v>MAC_COIEspectro_29</v>
          </cell>
          <cell r="C999" t="str">
            <v>01026277_LO_Nva_Palestina</v>
          </cell>
          <cell r="D999" t="str">
            <v>M0839</v>
          </cell>
          <cell r="E999" t="str">
            <v>COI ESPECTRO 2026</v>
          </cell>
          <cell r="F999" t="str">
            <v>Sitios Nuevos 3.5</v>
          </cell>
          <cell r="G999">
            <v>2026</v>
          </cell>
          <cell r="H999" t="str">
            <v>Actualizar</v>
          </cell>
          <cell r="I999" t="str">
            <v>Roy Bocanegra</v>
          </cell>
          <cell r="J999" t="str">
            <v>En Saneamiento</v>
          </cell>
          <cell r="K999">
            <v>46035</v>
          </cell>
        </row>
        <row r="1000">
          <cell r="B1000" t="str">
            <v>MAC_COIEspectro_30</v>
          </cell>
          <cell r="C1000" t="str">
            <v>01026305_LO_Mariategui_loreto</v>
          </cell>
          <cell r="D1000" t="str">
            <v>M0839</v>
          </cell>
          <cell r="E1000" t="str">
            <v>COI ESPECTRO 2026</v>
          </cell>
          <cell r="F1000" t="str">
            <v>Sitios Nuevos 3.5</v>
          </cell>
          <cell r="G1000">
            <v>2026</v>
          </cell>
          <cell r="H1000" t="str">
            <v>Actualizar</v>
          </cell>
          <cell r="I1000" t="str">
            <v>Roy Bocanegra</v>
          </cell>
          <cell r="J1000" t="str">
            <v>En Saneamiento</v>
          </cell>
          <cell r="K1000">
            <v>46035</v>
          </cell>
        </row>
        <row r="1001">
          <cell r="B1001" t="str">
            <v>MAC_COIEspectro_31</v>
          </cell>
          <cell r="C1001" t="str">
            <v>0102651_LO_Cochiquinas</v>
          </cell>
          <cell r="D1001" t="str">
            <v>M0839</v>
          </cell>
          <cell r="E1001" t="str">
            <v>COI ESPECTRO 2026</v>
          </cell>
          <cell r="F1001" t="str">
            <v>Sitios Nuevos 3.5</v>
          </cell>
          <cell r="G1001">
            <v>2026</v>
          </cell>
          <cell r="H1001" t="str">
            <v>Actualizar</v>
          </cell>
          <cell r="I1001" t="str">
            <v>Roy Bocanegra</v>
          </cell>
          <cell r="J1001" t="str">
            <v>En Saneamiento</v>
          </cell>
          <cell r="K1001">
            <v>46035</v>
          </cell>
        </row>
        <row r="1002">
          <cell r="B1002" t="str">
            <v>MAC_COIEspectro_32</v>
          </cell>
          <cell r="C1002" t="str">
            <v>01026151_LO_Angamos_Loreto</v>
          </cell>
          <cell r="D1002" t="str">
            <v>M0839</v>
          </cell>
          <cell r="E1002" t="str">
            <v>COI ESPECTRO 2026</v>
          </cell>
          <cell r="F1002" t="str">
            <v>Sitios Nuevos 3.5</v>
          </cell>
          <cell r="G1002">
            <v>2026</v>
          </cell>
          <cell r="H1002" t="str">
            <v>Actualizar</v>
          </cell>
          <cell r="I1002" t="str">
            <v>Roy Bocanegra</v>
          </cell>
          <cell r="J1002" t="str">
            <v>En Saneamiento</v>
          </cell>
          <cell r="K1002">
            <v>46035</v>
          </cell>
        </row>
        <row r="1003">
          <cell r="B1003" t="str">
            <v>MAC_COIEspectro_33</v>
          </cell>
          <cell r="C1003" t="str">
            <v>01026311_LO_Intipacari</v>
          </cell>
          <cell r="D1003" t="str">
            <v>M0839</v>
          </cell>
          <cell r="E1003" t="str">
            <v>COI ESPECTRO 2026</v>
          </cell>
          <cell r="F1003" t="str">
            <v>Sitios Nuevos 3.5</v>
          </cell>
          <cell r="G1003">
            <v>2026</v>
          </cell>
          <cell r="H1003" t="str">
            <v>Actualizar</v>
          </cell>
          <cell r="I1003" t="str">
            <v>Roy Bocanegra</v>
          </cell>
          <cell r="J1003" t="str">
            <v>En Saneamiento</v>
          </cell>
          <cell r="K1003">
            <v>46035</v>
          </cell>
        </row>
        <row r="1004">
          <cell r="B1004" t="str">
            <v>MAC_COIEspectro_34</v>
          </cell>
          <cell r="C1004" t="str">
            <v>010134380_AP_Granja_Pulpines</v>
          </cell>
          <cell r="D1004" t="str">
            <v>M0839</v>
          </cell>
          <cell r="E1004" t="str">
            <v>COI ESPECTRO 2026</v>
          </cell>
          <cell r="F1004" t="str">
            <v>Sitios Nuevos 3.5</v>
          </cell>
          <cell r="G1004">
            <v>2026</v>
          </cell>
          <cell r="H1004" t="str">
            <v>Actualizar</v>
          </cell>
          <cell r="I1004" t="str">
            <v>Roy Bocanegra</v>
          </cell>
          <cell r="J1004" t="str">
            <v>En Saneamiento</v>
          </cell>
          <cell r="K1004">
            <v>46035</v>
          </cell>
        </row>
        <row r="1005">
          <cell r="B1005" t="str">
            <v>MAC_COIEspectro_35</v>
          </cell>
          <cell r="C1005" t="str">
            <v>JH_00173</v>
          </cell>
          <cell r="D1005" t="str">
            <v>M0839</v>
          </cell>
          <cell r="E1005" t="str">
            <v>COI ESPECTRO 2026</v>
          </cell>
          <cell r="F1005" t="str">
            <v>Sitios Nuevos 3.5</v>
          </cell>
          <cell r="G1005">
            <v>2026</v>
          </cell>
          <cell r="H1005" t="str">
            <v>Actualizar</v>
          </cell>
          <cell r="I1005" t="str">
            <v>Roy Bocanegra</v>
          </cell>
          <cell r="J1005" t="str">
            <v>En Saneamiento</v>
          </cell>
          <cell r="K1005">
            <v>46035</v>
          </cell>
        </row>
        <row r="1006">
          <cell r="B1006" t="str">
            <v>MAC_COIEspectro_36</v>
          </cell>
          <cell r="C1006" t="str">
            <v>010201326_LH_Chumalle_Tingo</v>
          </cell>
          <cell r="D1006" t="str">
            <v>M0839</v>
          </cell>
          <cell r="E1006" t="str">
            <v>COI ESPECTRO 2026</v>
          </cell>
          <cell r="F1006" t="str">
            <v>Sitios Nuevos 3.5</v>
          </cell>
          <cell r="G1006">
            <v>2026</v>
          </cell>
          <cell r="H1006" t="str">
            <v>Actualizar</v>
          </cell>
          <cell r="I1006" t="str">
            <v>Roy Bocanegra</v>
          </cell>
          <cell r="J1006" t="str">
            <v>En Saneamiento</v>
          </cell>
          <cell r="K1006">
            <v>46035</v>
          </cell>
        </row>
        <row r="1007">
          <cell r="B1007" t="str">
            <v>MAC_COIEspectro_37</v>
          </cell>
          <cell r="C1007" t="str">
            <v>010185253_CS_Pacpapata</v>
          </cell>
          <cell r="D1007" t="str">
            <v>M0839</v>
          </cell>
          <cell r="E1007" t="str">
            <v>COI ESPECTRO 2026</v>
          </cell>
          <cell r="F1007" t="str">
            <v>Sitios Nuevos 3.5</v>
          </cell>
          <cell r="G1007">
            <v>2026</v>
          </cell>
          <cell r="H1007" t="str">
            <v>Actualizar</v>
          </cell>
          <cell r="I1007" t="str">
            <v>Roy Bocanegra</v>
          </cell>
          <cell r="J1007" t="str">
            <v>En Saneamiento</v>
          </cell>
          <cell r="K1007">
            <v>46035</v>
          </cell>
        </row>
        <row r="1008">
          <cell r="B1008" t="str">
            <v>MAC_COIEspectro_38</v>
          </cell>
          <cell r="C1008" t="str">
            <v>010325622_SM_Caserio_Palmas</v>
          </cell>
          <cell r="D1008" t="str">
            <v>M0839</v>
          </cell>
          <cell r="E1008" t="str">
            <v>COI ESPECTRO 2026</v>
          </cell>
          <cell r="F1008" t="str">
            <v>Sitios Nuevos 3.5</v>
          </cell>
          <cell r="G1008">
            <v>2026</v>
          </cell>
          <cell r="H1008" t="str">
            <v>Actualizar</v>
          </cell>
          <cell r="I1008" t="str">
            <v>Roy Bocanegra</v>
          </cell>
          <cell r="J1008" t="str">
            <v>En Saneamiento</v>
          </cell>
          <cell r="K1008">
            <v>46035</v>
          </cell>
        </row>
        <row r="1009">
          <cell r="B1009" t="str">
            <v>MAC_COIEspectro_39</v>
          </cell>
          <cell r="C1009" t="str">
            <v>010325623_SM_Shamboyacu_Alianza</v>
          </cell>
          <cell r="D1009" t="str">
            <v>M0839</v>
          </cell>
          <cell r="E1009" t="str">
            <v>COI ESPECTRO 2026</v>
          </cell>
          <cell r="F1009" t="str">
            <v>Sitios Nuevos 3.5</v>
          </cell>
          <cell r="G1009">
            <v>2026</v>
          </cell>
          <cell r="H1009" t="str">
            <v>Actualizar</v>
          </cell>
          <cell r="I1009" t="str">
            <v>Roy Bocanegra</v>
          </cell>
          <cell r="J1009" t="str">
            <v>En Saneamiento</v>
          </cell>
          <cell r="K1009">
            <v>46035</v>
          </cell>
        </row>
        <row r="1010">
          <cell r="B1010" t="str">
            <v>MAC_COIEspectro_40</v>
          </cell>
          <cell r="C1010" t="str">
            <v>010185268_CS_Ozonampiato</v>
          </cell>
          <cell r="D1010" t="str">
            <v>M0839</v>
          </cell>
          <cell r="E1010" t="str">
            <v>COI ESPECTRO 2026</v>
          </cell>
          <cell r="F1010" t="str">
            <v>Sitios Nuevos 3.5</v>
          </cell>
          <cell r="G1010">
            <v>2026</v>
          </cell>
          <cell r="H1010" t="str">
            <v>Actualizar</v>
          </cell>
          <cell r="I1010" t="str">
            <v>Roy Bocanegra</v>
          </cell>
          <cell r="J1010" t="str">
            <v>En Saneamiento</v>
          </cell>
          <cell r="K1010">
            <v>46035</v>
          </cell>
        </row>
        <row r="1011">
          <cell r="B1011" t="str">
            <v>MAC_COIEspectro_41</v>
          </cell>
          <cell r="C1011" t="str">
            <v>010185263_CS_Manatarushiato</v>
          </cell>
          <cell r="D1011" t="str">
            <v>M0839</v>
          </cell>
          <cell r="E1011" t="str">
            <v>COI ESPECTRO 2026</v>
          </cell>
          <cell r="F1011" t="str">
            <v>Sitios Nuevos 3.5</v>
          </cell>
          <cell r="G1011">
            <v>2026</v>
          </cell>
          <cell r="H1011" t="str">
            <v>Actualizar</v>
          </cell>
          <cell r="I1011" t="str">
            <v>Roy Bocanegra</v>
          </cell>
          <cell r="J1011" t="str">
            <v>En Saneamiento</v>
          </cell>
          <cell r="K1011">
            <v>46035</v>
          </cell>
        </row>
        <row r="1012">
          <cell r="B1012" t="str">
            <v>MAC_COIEspectro_42</v>
          </cell>
          <cell r="C1012" t="str">
            <v>01026313_LO_Ruta_Manseriche</v>
          </cell>
          <cell r="D1012" t="str">
            <v>M0839</v>
          </cell>
          <cell r="E1012" t="str">
            <v>COI ESPECTRO 2026</v>
          </cell>
          <cell r="F1012" t="str">
            <v>Sitios Nuevos 3.5</v>
          </cell>
          <cell r="G1012">
            <v>2026</v>
          </cell>
          <cell r="H1012" t="str">
            <v>Actualizar</v>
          </cell>
          <cell r="I1012" t="str">
            <v>Roy Bocanegra</v>
          </cell>
          <cell r="J1012" t="str">
            <v>En Saneamiento</v>
          </cell>
          <cell r="K1012">
            <v>46035</v>
          </cell>
        </row>
        <row r="1013">
          <cell r="B1013" t="str">
            <v>MAC_COIEspectro_43</v>
          </cell>
          <cell r="C1013" t="str">
            <v>01026315_LO_carretera_Starosaloreto</v>
          </cell>
          <cell r="D1013" t="str">
            <v>M0839</v>
          </cell>
          <cell r="E1013" t="str">
            <v>COI ESPECTRO 2026</v>
          </cell>
          <cell r="F1013" t="str">
            <v>Sitios Nuevos 3.5</v>
          </cell>
          <cell r="G1013">
            <v>2026</v>
          </cell>
          <cell r="H1013" t="str">
            <v>Actualizar</v>
          </cell>
          <cell r="I1013" t="str">
            <v>Roy Bocanegra</v>
          </cell>
          <cell r="J1013" t="str">
            <v>En Saneamiento</v>
          </cell>
          <cell r="K1013">
            <v>46035</v>
          </cell>
        </row>
        <row r="1014">
          <cell r="B1014" t="str">
            <v>MAC_COIEspectro_44</v>
          </cell>
          <cell r="C1014" t="str">
            <v>01026148_LO_Sargento_Lores</v>
          </cell>
          <cell r="D1014" t="str">
            <v>M0839</v>
          </cell>
          <cell r="E1014" t="str">
            <v>COI ESPECTRO 2026</v>
          </cell>
          <cell r="F1014" t="str">
            <v>Sitios Nuevos 3.5</v>
          </cell>
          <cell r="G1014">
            <v>2026</v>
          </cell>
          <cell r="H1014" t="str">
            <v>Actualizar</v>
          </cell>
          <cell r="I1014" t="str">
            <v>Roy Bocanegra</v>
          </cell>
          <cell r="J1014" t="str">
            <v>En Saneamiento</v>
          </cell>
          <cell r="K1014">
            <v>46035</v>
          </cell>
        </row>
        <row r="1015">
          <cell r="B1015" t="str">
            <v>MAC_COIEspectro_45</v>
          </cell>
          <cell r="C1015" t="str">
            <v>01026161_LO_Santa_Cecilia</v>
          </cell>
          <cell r="D1015" t="str">
            <v>M0839</v>
          </cell>
          <cell r="E1015" t="str">
            <v>COI ESPECTRO 2026</v>
          </cell>
          <cell r="F1015" t="str">
            <v>Sitios Nuevos 3.5</v>
          </cell>
          <cell r="G1015">
            <v>2026</v>
          </cell>
          <cell r="H1015" t="str">
            <v>Actualizar</v>
          </cell>
          <cell r="I1015" t="str">
            <v>Roy Bocanegra</v>
          </cell>
          <cell r="J1015" t="str">
            <v>En Saneamiento</v>
          </cell>
          <cell r="K1015">
            <v>46035</v>
          </cell>
        </row>
        <row r="1016">
          <cell r="B1016" t="str">
            <v>MAC_COIEspectro_46</v>
          </cell>
          <cell r="C1016" t="str">
            <v>JHG_00183</v>
          </cell>
          <cell r="D1016" t="str">
            <v>M0839</v>
          </cell>
          <cell r="E1016" t="str">
            <v>COI ESPECTRO 2026</v>
          </cell>
          <cell r="F1016" t="str">
            <v>Sitios Nuevos 3.5</v>
          </cell>
          <cell r="G1016">
            <v>2026</v>
          </cell>
          <cell r="H1016" t="str">
            <v>Actualizar</v>
          </cell>
          <cell r="I1016" t="str">
            <v>Roy Bocanegra</v>
          </cell>
          <cell r="J1016" t="str">
            <v>En Saneamiento</v>
          </cell>
          <cell r="K1016">
            <v>46035</v>
          </cell>
        </row>
        <row r="1017">
          <cell r="B1017" t="str">
            <v>MAC_COIEspectro_47</v>
          </cell>
          <cell r="C1017" t="str">
            <v>01026166_LO_SnataClara_Loreto</v>
          </cell>
          <cell r="D1017" t="str">
            <v>M0839</v>
          </cell>
          <cell r="E1017" t="str">
            <v>COI ESPECTRO 2026</v>
          </cell>
          <cell r="F1017" t="str">
            <v>Sitios Nuevos 3.5</v>
          </cell>
          <cell r="G1017">
            <v>2026</v>
          </cell>
          <cell r="H1017" t="str">
            <v>Actualizar</v>
          </cell>
          <cell r="I1017" t="str">
            <v>Roy Bocanegra</v>
          </cell>
          <cell r="J1017" t="str">
            <v>En Saneamiento</v>
          </cell>
          <cell r="K1017">
            <v>46035</v>
          </cell>
        </row>
        <row r="1018">
          <cell r="B1018" t="str">
            <v>MAC_COIEspectro_48</v>
          </cell>
          <cell r="C1018" t="str">
            <v>01026203_LO_Nvoprogreso_Loreto</v>
          </cell>
          <cell r="D1018" t="str">
            <v>M0839</v>
          </cell>
          <cell r="E1018" t="str">
            <v>COI ESPECTRO 2026</v>
          </cell>
          <cell r="F1018" t="str">
            <v>Sitios Nuevos 3.5</v>
          </cell>
          <cell r="G1018">
            <v>2026</v>
          </cell>
          <cell r="H1018" t="str">
            <v>Actualizar</v>
          </cell>
          <cell r="I1018" t="str">
            <v>Roy Bocanegra</v>
          </cell>
          <cell r="J1018" t="str">
            <v>En Saneamiento</v>
          </cell>
          <cell r="K1018">
            <v>46035</v>
          </cell>
        </row>
        <row r="1019">
          <cell r="B1019" t="str">
            <v>MAC_COIEspectro_49</v>
          </cell>
          <cell r="C1019" t="str">
            <v>01026263_LO_Puerto_Sinai</v>
          </cell>
          <cell r="D1019" t="str">
            <v>M0839</v>
          </cell>
          <cell r="E1019" t="str">
            <v>COI ESPECTRO 2026</v>
          </cell>
          <cell r="F1019" t="str">
            <v>Sitios Nuevos 3.5</v>
          </cell>
          <cell r="G1019">
            <v>2026</v>
          </cell>
          <cell r="H1019" t="str">
            <v>Actualizar</v>
          </cell>
          <cell r="I1019" t="str">
            <v>Roy Bocanegra</v>
          </cell>
          <cell r="J1019" t="str">
            <v>En Saneamiento</v>
          </cell>
          <cell r="K1019">
            <v>46035</v>
          </cell>
        </row>
        <row r="1020">
          <cell r="B1020" t="str">
            <v>MAC_COIEspectro_50</v>
          </cell>
          <cell r="C1020" t="str">
            <v>010291327_CP_Laguna_Naticocha</v>
          </cell>
          <cell r="D1020" t="str">
            <v>M0839</v>
          </cell>
          <cell r="E1020" t="str">
            <v>COI ESPECTRO 2026</v>
          </cell>
          <cell r="F1020" t="str">
            <v>Sitios Nuevos 3.5</v>
          </cell>
          <cell r="G1020">
            <v>2026</v>
          </cell>
          <cell r="H1020" t="str">
            <v>Actualizar</v>
          </cell>
          <cell r="I1020" t="str">
            <v>Roy Bocanegra</v>
          </cell>
          <cell r="J1020" t="str">
            <v>En Saneamiento</v>
          </cell>
          <cell r="K1020">
            <v>46035</v>
          </cell>
        </row>
        <row r="1021">
          <cell r="B1021" t="str">
            <v>MAC_COIEspectro_51</v>
          </cell>
          <cell r="C1021" t="str">
            <v>010291330_CP_Rosario_Huayllay</v>
          </cell>
          <cell r="D1021" t="str">
            <v>M0839</v>
          </cell>
          <cell r="E1021" t="str">
            <v>COI ESPECTRO 2026</v>
          </cell>
          <cell r="F1021" t="str">
            <v>Sitios Nuevos 3.5</v>
          </cell>
          <cell r="G1021">
            <v>2026</v>
          </cell>
          <cell r="H1021" t="str">
            <v>Actualizar</v>
          </cell>
          <cell r="I1021" t="str">
            <v>Roy Bocanegra</v>
          </cell>
          <cell r="J1021" t="str">
            <v>En Saneamiento</v>
          </cell>
          <cell r="K1021">
            <v>46035</v>
          </cell>
        </row>
        <row r="1022">
          <cell r="B1022" t="str">
            <v>MAC_COIEspectro_52</v>
          </cell>
          <cell r="C1022" t="str">
            <v>010315364_PN_Ichurusi_pueblo</v>
          </cell>
          <cell r="D1022" t="str">
            <v>M0839</v>
          </cell>
          <cell r="E1022" t="str">
            <v>COI ESPECTRO 2026</v>
          </cell>
          <cell r="F1022" t="str">
            <v>Sitios Nuevos 3.5</v>
          </cell>
          <cell r="G1022">
            <v>2026</v>
          </cell>
          <cell r="H1022" t="str">
            <v>Actualizar</v>
          </cell>
          <cell r="I1022" t="str">
            <v>Roy Bocanegra</v>
          </cell>
          <cell r="J1022" t="str">
            <v>En Saneamiento</v>
          </cell>
          <cell r="K1022">
            <v>46035</v>
          </cell>
        </row>
        <row r="1023">
          <cell r="B1023" t="str">
            <v>MAC_COIEspectro_53</v>
          </cell>
          <cell r="C1023" t="str">
            <v>FZ_00102</v>
          </cell>
          <cell r="D1023" t="str">
            <v>M0839</v>
          </cell>
          <cell r="E1023" t="str">
            <v>COI ESPECTRO 2026</v>
          </cell>
          <cell r="F1023" t="str">
            <v>Sitios Nuevos 3.5</v>
          </cell>
          <cell r="G1023">
            <v>2026</v>
          </cell>
          <cell r="H1023" t="str">
            <v>Actualizar</v>
          </cell>
          <cell r="I1023" t="str">
            <v>Roy Bocanegra</v>
          </cell>
          <cell r="J1023" t="str">
            <v>En Saneamiento</v>
          </cell>
          <cell r="K1023">
            <v>46035</v>
          </cell>
        </row>
        <row r="1024">
          <cell r="B1024" t="str">
            <v>MAC_COIEspectro_54</v>
          </cell>
          <cell r="C1024" t="str">
            <v>DE_00160</v>
          </cell>
          <cell r="D1024" t="str">
            <v>M0839</v>
          </cell>
          <cell r="E1024" t="str">
            <v>COI ESPECTRO 2026</v>
          </cell>
          <cell r="F1024" t="str">
            <v>Sitios Nuevos 3.5</v>
          </cell>
          <cell r="G1024">
            <v>2026</v>
          </cell>
          <cell r="H1024" t="str">
            <v>Actualizar</v>
          </cell>
          <cell r="I1024" t="str">
            <v>Roy Bocanegra</v>
          </cell>
          <cell r="J1024" t="str">
            <v>En Saneamiento</v>
          </cell>
          <cell r="K1024">
            <v>46035</v>
          </cell>
        </row>
        <row r="1025">
          <cell r="B1025" t="str">
            <v>MAC_COIEspectro_55</v>
          </cell>
          <cell r="C1025" t="str">
            <v>010185262_CS_Abracigakiato</v>
          </cell>
          <cell r="D1025" t="str">
            <v>M0839</v>
          </cell>
          <cell r="E1025" t="str">
            <v>COI ESPECTRO 2026</v>
          </cell>
          <cell r="F1025" t="str">
            <v>Sitios Nuevos 3.5</v>
          </cell>
          <cell r="G1025">
            <v>2026</v>
          </cell>
          <cell r="H1025" t="str">
            <v>Actualizar</v>
          </cell>
          <cell r="I1025" t="str">
            <v>Roy Bocanegra</v>
          </cell>
          <cell r="J1025" t="str">
            <v>En Saneamiento</v>
          </cell>
          <cell r="K1025">
            <v>46035</v>
          </cell>
        </row>
        <row r="1026">
          <cell r="B1026" t="str">
            <v>MAC_COIEspectro_56</v>
          </cell>
          <cell r="C1026" t="str">
            <v>010185281_CS_Nuevacalifornia</v>
          </cell>
          <cell r="D1026" t="str">
            <v>M0839</v>
          </cell>
          <cell r="E1026" t="str">
            <v>COI ESPECTRO 2026</v>
          </cell>
          <cell r="F1026" t="str">
            <v>Sitios Nuevos 3.5</v>
          </cell>
          <cell r="G1026">
            <v>2026</v>
          </cell>
          <cell r="H1026" t="str">
            <v>Actualizar</v>
          </cell>
          <cell r="I1026" t="str">
            <v>Roy Bocanegra</v>
          </cell>
          <cell r="J1026" t="str">
            <v>En Saneamiento</v>
          </cell>
          <cell r="K1026">
            <v>46035</v>
          </cell>
        </row>
        <row r="1027">
          <cell r="B1027" t="str">
            <v>MAC_COIEspectro_57</v>
          </cell>
          <cell r="C1027" t="str">
            <v>010185261_CS_Pugentimari</v>
          </cell>
          <cell r="D1027" t="str">
            <v>M0839</v>
          </cell>
          <cell r="E1027" t="str">
            <v>COI ESPECTRO 2026</v>
          </cell>
          <cell r="F1027" t="str">
            <v>Sitios Nuevos 3.5</v>
          </cell>
          <cell r="G1027">
            <v>2026</v>
          </cell>
          <cell r="H1027" t="str">
            <v>Actualizar</v>
          </cell>
          <cell r="I1027" t="str">
            <v>Roy Bocanegra</v>
          </cell>
          <cell r="J1027" t="str">
            <v>En Saneamiento</v>
          </cell>
          <cell r="K1027">
            <v>46035</v>
          </cell>
        </row>
        <row r="1028">
          <cell r="B1028" t="str">
            <v>MAC_COIEspectro_58</v>
          </cell>
          <cell r="C1028" t="str">
            <v>010135511_AP_Tamburqui</v>
          </cell>
          <cell r="D1028" t="str">
            <v>M0839</v>
          </cell>
          <cell r="E1028" t="str">
            <v>COI ESPECTRO 2026</v>
          </cell>
          <cell r="F1028" t="str">
            <v>Sitios Nuevos 3.5</v>
          </cell>
          <cell r="G1028">
            <v>2026</v>
          </cell>
          <cell r="H1028" t="str">
            <v>Actualizar</v>
          </cell>
          <cell r="I1028" t="str">
            <v>Roy Bocanegra</v>
          </cell>
          <cell r="J1028" t="str">
            <v>En Saneamiento</v>
          </cell>
          <cell r="K1028">
            <v>46035</v>
          </cell>
        </row>
        <row r="1029">
          <cell r="B1029" t="str">
            <v>MAC_COIEspectro_59</v>
          </cell>
          <cell r="C1029" t="str">
            <v>010185248_CS_Mantinga</v>
          </cell>
          <cell r="D1029" t="str">
            <v>M0839</v>
          </cell>
          <cell r="E1029" t="str">
            <v>COI ESPECTRO 2026</v>
          </cell>
          <cell r="F1029" t="str">
            <v>Sitios Nuevos 3.5</v>
          </cell>
          <cell r="G1029">
            <v>2026</v>
          </cell>
          <cell r="H1029" t="str">
            <v>Actualizar</v>
          </cell>
          <cell r="I1029" t="str">
            <v>Roy Bocanegra</v>
          </cell>
          <cell r="J1029" t="str">
            <v>En Saneamiento</v>
          </cell>
          <cell r="K1029">
            <v>46035</v>
          </cell>
        </row>
        <row r="1030">
          <cell r="B1030" t="str">
            <v>MAC_COIEspectro_60</v>
          </cell>
          <cell r="C1030" t="str">
            <v>010191310_HU_Uchpajasa</v>
          </cell>
          <cell r="D1030" t="str">
            <v>M0839</v>
          </cell>
          <cell r="E1030" t="str">
            <v>COI ESPECTRO 2026</v>
          </cell>
          <cell r="F1030" t="str">
            <v>Sitios Nuevos 3.5</v>
          </cell>
          <cell r="G1030">
            <v>2026</v>
          </cell>
          <cell r="H1030" t="str">
            <v>Actualizar</v>
          </cell>
          <cell r="I1030" t="str">
            <v>Roy Bocanegra</v>
          </cell>
          <cell r="J1030" t="str">
            <v>En Saneamiento</v>
          </cell>
          <cell r="K1030">
            <v>46035</v>
          </cell>
        </row>
        <row r="1031">
          <cell r="B1031" t="str">
            <v>MAC_COIEspectro_61</v>
          </cell>
          <cell r="C1031" t="str">
            <v>010185288_CS_Saniriato</v>
          </cell>
          <cell r="D1031" t="str">
            <v>M0839</v>
          </cell>
          <cell r="E1031" t="str">
            <v>COI ESPECTRO 2026</v>
          </cell>
          <cell r="F1031" t="str">
            <v>Sitios Nuevos 3.5</v>
          </cell>
          <cell r="G1031">
            <v>2026</v>
          </cell>
          <cell r="H1031" t="str">
            <v>Actualizar</v>
          </cell>
          <cell r="I1031" t="str">
            <v>Roy Bocanegra</v>
          </cell>
          <cell r="J1031" t="str">
            <v>En Saneamiento</v>
          </cell>
          <cell r="K1031">
            <v>46035</v>
          </cell>
        </row>
        <row r="1032">
          <cell r="B1032" t="str">
            <v>MAC_COIEspectro_62</v>
          </cell>
          <cell r="C1032" t="str">
            <v>DE_00246</v>
          </cell>
          <cell r="D1032" t="str">
            <v>M0839</v>
          </cell>
          <cell r="E1032" t="str">
            <v>COI ESPECTRO 2026</v>
          </cell>
          <cell r="F1032" t="str">
            <v>Sitios Nuevos 3.5</v>
          </cell>
          <cell r="G1032">
            <v>2026</v>
          </cell>
          <cell r="H1032" t="str">
            <v>Actualizar</v>
          </cell>
          <cell r="I1032" t="str">
            <v>Roy Bocanegra</v>
          </cell>
          <cell r="J1032" t="str">
            <v>En Saneamiento</v>
          </cell>
          <cell r="K1032">
            <v>46035</v>
          </cell>
        </row>
        <row r="1033">
          <cell r="B1033" t="str">
            <v>MAC_COIEspectro_63</v>
          </cell>
          <cell r="C1033" t="str">
            <v>FZ_00047</v>
          </cell>
          <cell r="D1033" t="str">
            <v>M0839</v>
          </cell>
          <cell r="E1033" t="str">
            <v>COI ESPECTRO 2026</v>
          </cell>
          <cell r="F1033" t="str">
            <v>Sitios Nuevos 3.5</v>
          </cell>
          <cell r="G1033">
            <v>2026</v>
          </cell>
          <cell r="H1033" t="str">
            <v>Actualizar</v>
          </cell>
          <cell r="I1033" t="str">
            <v>Roy Bocanegra</v>
          </cell>
          <cell r="J1033" t="str">
            <v>En Saneamiento</v>
          </cell>
          <cell r="K1033">
            <v>46035</v>
          </cell>
        </row>
        <row r="1034">
          <cell r="B1034" t="str">
            <v>MAC_COIEspectro_64</v>
          </cell>
          <cell r="C1034" t="str">
            <v>JHG_00174</v>
          </cell>
          <cell r="D1034" t="str">
            <v>M0839</v>
          </cell>
          <cell r="E1034" t="str">
            <v>COI ESPECTRO 2026</v>
          </cell>
          <cell r="F1034" t="str">
            <v>Sitios Nuevos 3.5</v>
          </cell>
          <cell r="G1034">
            <v>2026</v>
          </cell>
          <cell r="H1034" t="str">
            <v>Actualizar</v>
          </cell>
          <cell r="I1034" t="str">
            <v>Roy Bocanegra</v>
          </cell>
          <cell r="J1034" t="str">
            <v>En Saneamiento</v>
          </cell>
          <cell r="K1034">
            <v>46035</v>
          </cell>
        </row>
        <row r="1035">
          <cell r="B1035" t="str">
            <v>MAC_COIEspectro_65</v>
          </cell>
          <cell r="C1035" t="str">
            <v>010185252_CS_Garavito_cusco</v>
          </cell>
          <cell r="D1035" t="str">
            <v>M0839</v>
          </cell>
          <cell r="E1035" t="str">
            <v>COI ESPECTRO 2026</v>
          </cell>
          <cell r="F1035" t="str">
            <v>Sitios Nuevos 3.5</v>
          </cell>
          <cell r="G1035">
            <v>2026</v>
          </cell>
          <cell r="H1035" t="str">
            <v>Actualizar</v>
          </cell>
          <cell r="I1035" t="str">
            <v>Roy Bocanegra</v>
          </cell>
          <cell r="J1035" t="str">
            <v>En Saneamiento</v>
          </cell>
          <cell r="K1035">
            <v>46035</v>
          </cell>
        </row>
        <row r="1036">
          <cell r="B1036" t="str">
            <v>MAC_COIEspectro_66</v>
          </cell>
          <cell r="C1036" t="str">
            <v>LS_00175</v>
          </cell>
          <cell r="D1036" t="str">
            <v>M0839</v>
          </cell>
          <cell r="E1036" t="str">
            <v>COI ESPECTRO 2026</v>
          </cell>
          <cell r="F1036" t="str">
            <v>Sitios Nuevos 3.5</v>
          </cell>
          <cell r="G1036">
            <v>2026</v>
          </cell>
          <cell r="H1036" t="str">
            <v>Actualizar</v>
          </cell>
          <cell r="I1036" t="str">
            <v>Roy Bocanegra</v>
          </cell>
          <cell r="J1036" t="str">
            <v>En Saneamiento</v>
          </cell>
          <cell r="K1036">
            <v>46035</v>
          </cell>
        </row>
        <row r="1037">
          <cell r="B1037" t="str">
            <v>MAC_COIEspectro_67</v>
          </cell>
          <cell r="C1037" t="str">
            <v>FZ_01511</v>
          </cell>
          <cell r="D1037" t="str">
            <v>M0839</v>
          </cell>
          <cell r="E1037" t="str">
            <v>COI ESPECTRO 2026</v>
          </cell>
          <cell r="F1037" t="str">
            <v>Sitios Nuevos 3.5</v>
          </cell>
          <cell r="G1037">
            <v>2026</v>
          </cell>
          <cell r="H1037" t="str">
            <v>Actualizar</v>
          </cell>
          <cell r="I1037" t="str">
            <v>Roy Bocanegra</v>
          </cell>
          <cell r="J1037" t="str">
            <v>En Saneamiento</v>
          </cell>
          <cell r="K1037">
            <v>46035</v>
          </cell>
        </row>
        <row r="1038">
          <cell r="B1038" t="str">
            <v>MAC_COIEspectro_68</v>
          </cell>
          <cell r="C1038" t="str">
            <v>FZ_01510</v>
          </cell>
          <cell r="D1038" t="str">
            <v>M0839</v>
          </cell>
          <cell r="E1038" t="str">
            <v>COI ESPECTRO 2026</v>
          </cell>
          <cell r="F1038" t="str">
            <v>Sitios Nuevos 3.5</v>
          </cell>
          <cell r="G1038">
            <v>2026</v>
          </cell>
          <cell r="H1038" t="str">
            <v>Actualizar</v>
          </cell>
          <cell r="I1038" t="str">
            <v>Roy Bocanegra</v>
          </cell>
          <cell r="J1038" t="str">
            <v>En Saneamiento</v>
          </cell>
          <cell r="K1038">
            <v>46035</v>
          </cell>
        </row>
        <row r="1039">
          <cell r="B1039" t="str">
            <v>MAC_COIEspectro_69</v>
          </cell>
          <cell r="C1039" t="str">
            <v>010325624_SM_Nvo_tacabamba</v>
          </cell>
          <cell r="D1039" t="str">
            <v>M0839</v>
          </cell>
          <cell r="E1039" t="str">
            <v>COI ESPECTRO 2026</v>
          </cell>
          <cell r="F1039" t="str">
            <v>Sitios Nuevos 3.5</v>
          </cell>
          <cell r="G1039">
            <v>2026</v>
          </cell>
          <cell r="H1039" t="str">
            <v>Actualizar</v>
          </cell>
          <cell r="I1039" t="str">
            <v>Roy Bocanegra</v>
          </cell>
          <cell r="J1039" t="str">
            <v>En Saneamiento</v>
          </cell>
          <cell r="K1039">
            <v>46035</v>
          </cell>
        </row>
        <row r="1040">
          <cell r="B1040" t="str">
            <v>MAC_COIEspectro_70</v>
          </cell>
          <cell r="C1040" t="str">
            <v>010191313_HU_Chocollo_ayavi</v>
          </cell>
          <cell r="D1040" t="str">
            <v>M0839</v>
          </cell>
          <cell r="E1040" t="str">
            <v>COI ESPECTRO 2026</v>
          </cell>
          <cell r="F1040" t="str">
            <v>Sitios Nuevos 3.5</v>
          </cell>
          <cell r="G1040">
            <v>2026</v>
          </cell>
          <cell r="H1040" t="str">
            <v>Actualizar</v>
          </cell>
          <cell r="I1040" t="str">
            <v>Roy Bocanegra</v>
          </cell>
          <cell r="J1040" t="str">
            <v>En Saneamiento</v>
          </cell>
          <cell r="K1040">
            <v>46035</v>
          </cell>
        </row>
        <row r="1041">
          <cell r="B1041" t="str">
            <v>MAC_COIEspectro_71</v>
          </cell>
          <cell r="C1041" t="str">
            <v>010185278_CS_Alto_shimaa</v>
          </cell>
          <cell r="D1041" t="str">
            <v>M0839</v>
          </cell>
          <cell r="E1041" t="str">
            <v>COI ESPECTRO 2026</v>
          </cell>
          <cell r="F1041" t="str">
            <v>Sitios Nuevos 3.5</v>
          </cell>
          <cell r="G1041">
            <v>2026</v>
          </cell>
          <cell r="H1041" t="str">
            <v>Actualizar</v>
          </cell>
          <cell r="I1041" t="str">
            <v>Roy Bocanegra</v>
          </cell>
          <cell r="J1041" t="str">
            <v>En Saneamiento</v>
          </cell>
          <cell r="K1041">
            <v>46035</v>
          </cell>
        </row>
        <row r="1042">
          <cell r="B1042" t="str">
            <v>MAC_COIEspectro_72</v>
          </cell>
          <cell r="C1042" t="str">
            <v>010215688_IC_Carretera_Marcona</v>
          </cell>
          <cell r="D1042" t="str">
            <v>M0839</v>
          </cell>
          <cell r="E1042" t="str">
            <v>COI ESPECTRO 2026</v>
          </cell>
          <cell r="F1042" t="str">
            <v>Sitios Nuevos 3.5</v>
          </cell>
          <cell r="G1042">
            <v>2026</v>
          </cell>
          <cell r="H1042" t="str">
            <v>Actualizar</v>
          </cell>
          <cell r="I1042" t="str">
            <v>Roy Bocanegra</v>
          </cell>
          <cell r="J1042" t="str">
            <v>En Saneamiento</v>
          </cell>
          <cell r="K1042">
            <v>46035</v>
          </cell>
        </row>
        <row r="1043">
          <cell r="B1043" t="str">
            <v>MAC_COIEspectro_73</v>
          </cell>
          <cell r="C1043" t="str">
            <v>010325621_SM_Aviacion_Lamas</v>
          </cell>
          <cell r="D1043" t="str">
            <v>M0839</v>
          </cell>
          <cell r="E1043" t="str">
            <v>COI ESPECTRO 2026</v>
          </cell>
          <cell r="F1043" t="str">
            <v>Sitios Nuevos 3.5</v>
          </cell>
          <cell r="G1043">
            <v>2026</v>
          </cell>
          <cell r="I1043" t="str">
            <v>Roy Bocanegra</v>
          </cell>
          <cell r="J1043" t="str">
            <v>Por Actualizar</v>
          </cell>
          <cell r="K1043">
            <v>46035</v>
          </cell>
        </row>
        <row r="1044">
          <cell r="B1044" t="str">
            <v>MAC_COIEspectro_74</v>
          </cell>
          <cell r="C1044" t="str">
            <v>010255423_LM_Sanjuan_Collata</v>
          </cell>
          <cell r="D1044" t="str">
            <v>M0839</v>
          </cell>
          <cell r="E1044" t="str">
            <v>COI ESPECTRO 2026</v>
          </cell>
          <cell r="F1044" t="str">
            <v>Sitios Nuevos 3.5</v>
          </cell>
          <cell r="G1044">
            <v>2026</v>
          </cell>
          <cell r="H1044" t="str">
            <v>Actualizar</v>
          </cell>
          <cell r="I1044" t="str">
            <v>Roy Bocanegra</v>
          </cell>
          <cell r="J1044" t="str">
            <v>En Validación</v>
          </cell>
          <cell r="K1044">
            <v>46035</v>
          </cell>
        </row>
        <row r="1045">
          <cell r="B1045" t="str">
            <v>MAC_COIEspectro_75</v>
          </cell>
          <cell r="C1045" t="str">
            <v>0102550_LM_Abra_Antajirca</v>
          </cell>
          <cell r="D1045" t="str">
            <v>M0839</v>
          </cell>
          <cell r="E1045" t="str">
            <v>COI ESPECTRO 2026</v>
          </cell>
          <cell r="F1045" t="str">
            <v>Sitios Nuevos 3.5</v>
          </cell>
          <cell r="G1045">
            <v>2026</v>
          </cell>
          <cell r="H1045" t="str">
            <v>Actualizar</v>
          </cell>
          <cell r="I1045" t="str">
            <v>Roy Bocanegra</v>
          </cell>
          <cell r="J1045" t="str">
            <v>En Saneamiento</v>
          </cell>
          <cell r="K1045">
            <v>46035</v>
          </cell>
        </row>
        <row r="1046">
          <cell r="B1046" t="str">
            <v>MAC_COIEspectro_76</v>
          </cell>
          <cell r="C1046" t="str">
            <v>LS_0005_ADD</v>
          </cell>
          <cell r="D1046" t="str">
            <v>M0839</v>
          </cell>
          <cell r="E1046" t="str">
            <v>COI ESPECTRO 2026</v>
          </cell>
          <cell r="F1046" t="str">
            <v>Sitios Nuevos 3.5</v>
          </cell>
          <cell r="G1046">
            <v>2026</v>
          </cell>
          <cell r="H1046" t="str">
            <v>Actualizar</v>
          </cell>
          <cell r="I1046" t="str">
            <v>Roy Bocanegra</v>
          </cell>
          <cell r="J1046" t="str">
            <v>En Saneamiento</v>
          </cell>
          <cell r="K1046">
            <v>46035</v>
          </cell>
        </row>
        <row r="1047">
          <cell r="B1047" t="str">
            <v>MAC_COIEspectro_77</v>
          </cell>
          <cell r="C1047" t="str">
            <v>010256116_LM_Plaza_Pampacocha</v>
          </cell>
          <cell r="D1047" t="str">
            <v>M0839</v>
          </cell>
          <cell r="E1047" t="str">
            <v>COI ESPECTRO 2026</v>
          </cell>
          <cell r="F1047" t="str">
            <v>Sitios Nuevos 3.5</v>
          </cell>
          <cell r="G1047">
            <v>2026</v>
          </cell>
          <cell r="H1047" t="str">
            <v>Actualizar</v>
          </cell>
          <cell r="I1047" t="str">
            <v>Roy Bocanegra</v>
          </cell>
          <cell r="J1047" t="str">
            <v>En Validación</v>
          </cell>
          <cell r="K1047">
            <v>46035</v>
          </cell>
        </row>
        <row r="1048">
          <cell r="B1048" t="str">
            <v>MAC_COIEspectro_78</v>
          </cell>
          <cell r="C1048" t="str">
            <v>010130463_AP_Puente_sahuinto</v>
          </cell>
          <cell r="D1048" t="str">
            <v>M0839</v>
          </cell>
          <cell r="E1048" t="str">
            <v>COI ESPECTRO 2026</v>
          </cell>
          <cell r="F1048" t="str">
            <v>Sitios Nuevos 3.5</v>
          </cell>
          <cell r="G1048">
            <v>2026</v>
          </cell>
          <cell r="I1048" t="str">
            <v>Roy Bocanegra</v>
          </cell>
          <cell r="J1048" t="str">
            <v>Por Actualizar</v>
          </cell>
          <cell r="K1048">
            <v>46035</v>
          </cell>
        </row>
        <row r="1049">
          <cell r="B1049" t="str">
            <v>MAC_COIEspectro_79</v>
          </cell>
          <cell r="C1049" t="str">
            <v>FZ_01474</v>
          </cell>
          <cell r="D1049" t="str">
            <v>M0839</v>
          </cell>
          <cell r="E1049" t="str">
            <v>COI ESPECTRO 2026</v>
          </cell>
          <cell r="F1049" t="str">
            <v>Sitios Nuevos 3.5</v>
          </cell>
          <cell r="G1049">
            <v>2026</v>
          </cell>
          <cell r="H1049" t="str">
            <v>Actualizar</v>
          </cell>
          <cell r="I1049" t="str">
            <v>Roy Bocanegra</v>
          </cell>
          <cell r="J1049" t="str">
            <v>En Validación</v>
          </cell>
          <cell r="K1049">
            <v>46035</v>
          </cell>
        </row>
        <row r="1050">
          <cell r="B1050" t="str">
            <v>MAC_COIEspectro_80</v>
          </cell>
          <cell r="C1050" t="str">
            <v>010201324_LH_Pucasniega</v>
          </cell>
          <cell r="D1050" t="str">
            <v>M0839</v>
          </cell>
          <cell r="E1050" t="str">
            <v>COI ESPECTRO 2026</v>
          </cell>
          <cell r="F1050" t="str">
            <v>Sitios Nuevos 3.5</v>
          </cell>
          <cell r="G1050">
            <v>2026</v>
          </cell>
          <cell r="I1050" t="str">
            <v>Roy Bocanegra</v>
          </cell>
          <cell r="J1050" t="str">
            <v>Por Actualizar</v>
          </cell>
          <cell r="K1050">
            <v>46035</v>
          </cell>
        </row>
        <row r="1051">
          <cell r="B1051" t="str">
            <v>MAC_COIEspectro_81</v>
          </cell>
          <cell r="C1051" t="str">
            <v>0102522_LM_Petroglifos_Apan</v>
          </cell>
          <cell r="D1051" t="str">
            <v>M0839</v>
          </cell>
          <cell r="E1051" t="str">
            <v>COI ESPECTRO 2026</v>
          </cell>
          <cell r="F1051" t="str">
            <v>Sitios Nuevos 3.5</v>
          </cell>
          <cell r="G1051">
            <v>2026</v>
          </cell>
          <cell r="H1051" t="str">
            <v>Actualizar</v>
          </cell>
          <cell r="I1051" t="str">
            <v>Roy Bocanegra</v>
          </cell>
          <cell r="J1051" t="str">
            <v>En Validación</v>
          </cell>
          <cell r="K1051">
            <v>46035</v>
          </cell>
        </row>
        <row r="1052">
          <cell r="B1052" t="str">
            <v>MAC_COIEspectro_82</v>
          </cell>
          <cell r="C1052" t="str">
            <v>JHG_00532</v>
          </cell>
          <cell r="D1052" t="str">
            <v>M0839</v>
          </cell>
          <cell r="E1052" t="str">
            <v>COI ESPECTRO 2026</v>
          </cell>
          <cell r="F1052" t="str">
            <v>Sitios Nuevos 3.5</v>
          </cell>
          <cell r="G1052">
            <v>2026</v>
          </cell>
          <cell r="H1052" t="str">
            <v>Actualizar</v>
          </cell>
          <cell r="I1052" t="str">
            <v>Roy Bocanegra</v>
          </cell>
          <cell r="J1052" t="str">
            <v>En Saneamiento</v>
          </cell>
          <cell r="K1052">
            <v>46035</v>
          </cell>
        </row>
        <row r="1053">
          <cell r="B1053" t="str">
            <v>MAC_COIEspectro_83</v>
          </cell>
          <cell r="C1053" t="str">
            <v>010255691_LM_Rancho_Puruchuco</v>
          </cell>
          <cell r="D1053" t="str">
            <v>M0839</v>
          </cell>
          <cell r="E1053" t="str">
            <v>COI ESPECTRO 2026</v>
          </cell>
          <cell r="F1053" t="str">
            <v>Sitios Nuevos 3.5</v>
          </cell>
          <cell r="G1053">
            <v>2026</v>
          </cell>
          <cell r="H1053" t="str">
            <v>Actualizar</v>
          </cell>
          <cell r="I1053" t="str">
            <v>Roy Bocanegra</v>
          </cell>
          <cell r="J1053" t="str">
            <v>En Validación</v>
          </cell>
          <cell r="K1053">
            <v>46035</v>
          </cell>
        </row>
        <row r="1054">
          <cell r="B1054" t="str">
            <v>MAC_COIEspectro_84</v>
          </cell>
          <cell r="C1054" t="str">
            <v>010130327_AP_Seccebamba</v>
          </cell>
          <cell r="D1054" t="str">
            <v>M0839</v>
          </cell>
          <cell r="E1054" t="str">
            <v>COI ESPECTRO 2026</v>
          </cell>
          <cell r="F1054" t="str">
            <v>Sitios Nuevos 3.5</v>
          </cell>
          <cell r="G1054">
            <v>2026</v>
          </cell>
          <cell r="I1054" t="str">
            <v>Roy Bocanegra</v>
          </cell>
          <cell r="J1054" t="str">
            <v>Por Actualizar</v>
          </cell>
          <cell r="K1054">
            <v>46035</v>
          </cell>
        </row>
        <row r="1055">
          <cell r="B1055" t="str">
            <v>MAC_COIEspectro_85</v>
          </cell>
          <cell r="C1055" t="str">
            <v>DE_00083</v>
          </cell>
          <cell r="D1055" t="str">
            <v>M0839</v>
          </cell>
          <cell r="E1055" t="str">
            <v>COI ESPECTRO 2026</v>
          </cell>
          <cell r="F1055" t="str">
            <v>Sitios Nuevos 3.5</v>
          </cell>
          <cell r="G1055">
            <v>2026</v>
          </cell>
          <cell r="H1055" t="str">
            <v>Actualizar</v>
          </cell>
          <cell r="I1055" t="str">
            <v>Roy Bocanegra</v>
          </cell>
          <cell r="J1055" t="str">
            <v>En Validación</v>
          </cell>
          <cell r="K1055">
            <v>46035</v>
          </cell>
        </row>
        <row r="1056">
          <cell r="B1056" t="str">
            <v>MAC_COIEspectro_86</v>
          </cell>
          <cell r="C1056" t="str">
            <v>010130441_AP_Pronoei_pichirhua</v>
          </cell>
          <cell r="D1056" t="str">
            <v>M0839</v>
          </cell>
          <cell r="E1056" t="str">
            <v>COI ESPECTRO 2026</v>
          </cell>
          <cell r="F1056" t="str">
            <v>Sitios Nuevos 3.5</v>
          </cell>
          <cell r="G1056">
            <v>2026</v>
          </cell>
          <cell r="H1056" t="str">
            <v>Actualizar</v>
          </cell>
          <cell r="I1056" t="str">
            <v>Roy Bocanegra</v>
          </cell>
          <cell r="J1056" t="str">
            <v>En Validación</v>
          </cell>
          <cell r="K1056">
            <v>46035</v>
          </cell>
        </row>
        <row r="1057">
          <cell r="B1057" t="str">
            <v>MAC_COIEspectro_87</v>
          </cell>
          <cell r="C1057" t="str">
            <v>DE_00078</v>
          </cell>
          <cell r="D1057" t="str">
            <v>M0839</v>
          </cell>
          <cell r="E1057" t="str">
            <v>COI ESPECTRO 2026</v>
          </cell>
          <cell r="F1057" t="str">
            <v>Sitios Nuevos 3.5</v>
          </cell>
          <cell r="G1057">
            <v>2026</v>
          </cell>
          <cell r="H1057" t="str">
            <v>Actualizar</v>
          </cell>
          <cell r="I1057" t="str">
            <v>Roy Bocanegra</v>
          </cell>
          <cell r="J1057" t="str">
            <v>En Validación</v>
          </cell>
          <cell r="K1057">
            <v>46035</v>
          </cell>
        </row>
        <row r="1058">
          <cell r="B1058" t="str">
            <v>MAC_COIEspectro_88</v>
          </cell>
          <cell r="C1058" t="str">
            <v>JHG_00502</v>
          </cell>
          <cell r="D1058" t="str">
            <v>M0839</v>
          </cell>
          <cell r="E1058" t="str">
            <v>COI ESPECTRO 2026</v>
          </cell>
          <cell r="F1058" t="str">
            <v>Sitios Nuevos 3.5</v>
          </cell>
          <cell r="G1058">
            <v>2026</v>
          </cell>
          <cell r="H1058" t="str">
            <v>Actualizar</v>
          </cell>
          <cell r="I1058" t="str">
            <v>Roy Bocanegra</v>
          </cell>
          <cell r="J1058" t="str">
            <v>En Saneamiento</v>
          </cell>
          <cell r="K1058">
            <v>46035</v>
          </cell>
        </row>
        <row r="1059">
          <cell r="B1059" t="str">
            <v>MAC_COIEspectro_89</v>
          </cell>
          <cell r="C1059" t="str">
            <v>FZ_00498</v>
          </cell>
          <cell r="D1059" t="str">
            <v>M0839</v>
          </cell>
          <cell r="E1059" t="str">
            <v>COI ESPECTRO 2026</v>
          </cell>
          <cell r="F1059" t="str">
            <v>Sitios Nuevos 3.5</v>
          </cell>
          <cell r="G1059">
            <v>2026</v>
          </cell>
          <cell r="H1059" t="str">
            <v>Actualizar</v>
          </cell>
          <cell r="I1059" t="str">
            <v>Roy Bocanegra</v>
          </cell>
          <cell r="J1059" t="str">
            <v>En Validación</v>
          </cell>
          <cell r="K1059">
            <v>46035</v>
          </cell>
        </row>
        <row r="1060">
          <cell r="B1060" t="str">
            <v>MAC_COIEspectro_90</v>
          </cell>
          <cell r="C1060" t="str">
            <v>DE_00237</v>
          </cell>
          <cell r="D1060" t="str">
            <v>M0839</v>
          </cell>
          <cell r="E1060" t="str">
            <v>COI ESPECTRO 2026</v>
          </cell>
          <cell r="F1060" t="str">
            <v>Sitios Nuevos 3.5</v>
          </cell>
          <cell r="G1060">
            <v>2026</v>
          </cell>
          <cell r="H1060" t="str">
            <v>Actualizar</v>
          </cell>
          <cell r="I1060" t="str">
            <v>Roy Bocanegra</v>
          </cell>
          <cell r="J1060" t="str">
            <v>En Búsqueda</v>
          </cell>
          <cell r="K1060">
            <v>46035</v>
          </cell>
        </row>
        <row r="1061">
          <cell r="B1061" t="str">
            <v>MAC_COIEspectro_91</v>
          </cell>
          <cell r="C1061" t="str">
            <v>DE_00069</v>
          </cell>
          <cell r="D1061" t="str">
            <v>M0839</v>
          </cell>
          <cell r="E1061" t="str">
            <v>COI ESPECTRO 2026</v>
          </cell>
          <cell r="F1061" t="str">
            <v>Sitios Nuevos 3.5</v>
          </cell>
          <cell r="G1061">
            <v>2026</v>
          </cell>
          <cell r="H1061" t="str">
            <v>Actualizar</v>
          </cell>
          <cell r="I1061" t="str">
            <v>Roy Bocanegra</v>
          </cell>
          <cell r="J1061" t="str">
            <v>En Búsqueda</v>
          </cell>
          <cell r="K1061">
            <v>46035</v>
          </cell>
        </row>
        <row r="1062">
          <cell r="B1062" t="str">
            <v>MAC_COIEspectro_92</v>
          </cell>
          <cell r="C1062" t="str">
            <v>FZ_00283</v>
          </cell>
          <cell r="D1062" t="str">
            <v>M0839</v>
          </cell>
          <cell r="E1062" t="str">
            <v>COI ESPECTRO 2026</v>
          </cell>
          <cell r="F1062" t="str">
            <v>Sitios Nuevos 3.5</v>
          </cell>
          <cell r="G1062">
            <v>2026</v>
          </cell>
          <cell r="H1062" t="str">
            <v>Actualizar</v>
          </cell>
          <cell r="I1062" t="str">
            <v>Roy Bocanegra</v>
          </cell>
          <cell r="J1062" t="str">
            <v>En Validación</v>
          </cell>
          <cell r="K1062">
            <v>46035</v>
          </cell>
        </row>
        <row r="1063">
          <cell r="B1063" t="str">
            <v>MAC_COIEspectro_93</v>
          </cell>
          <cell r="C1063" t="str">
            <v>JG_00069</v>
          </cell>
          <cell r="D1063" t="str">
            <v>M0839</v>
          </cell>
          <cell r="E1063" t="str">
            <v>COI ESPECTRO 2026</v>
          </cell>
          <cell r="F1063" t="str">
            <v>Sitios Nuevos 3.5</v>
          </cell>
          <cell r="G1063">
            <v>2026</v>
          </cell>
          <cell r="H1063" t="str">
            <v>Actualizar</v>
          </cell>
          <cell r="I1063" t="str">
            <v>Roy Bocanegra</v>
          </cell>
          <cell r="J1063" t="str">
            <v>En Búsqueda</v>
          </cell>
          <cell r="K1063">
            <v>46035</v>
          </cell>
        </row>
        <row r="1064">
          <cell r="B1064" t="str">
            <v>MAC_COIEspectro_94</v>
          </cell>
          <cell r="C1064" t="str">
            <v>JH_00175</v>
          </cell>
          <cell r="D1064" t="str">
            <v>M0839</v>
          </cell>
          <cell r="E1064" t="str">
            <v>COI ESPECTRO 2026</v>
          </cell>
          <cell r="F1064" t="str">
            <v>Sitios Nuevos 3.5</v>
          </cell>
          <cell r="G1064">
            <v>2026</v>
          </cell>
          <cell r="H1064" t="str">
            <v>Actualizar</v>
          </cell>
          <cell r="I1064" t="str">
            <v>Roy Bocanegra</v>
          </cell>
          <cell r="J1064" t="str">
            <v>En Búsqueda</v>
          </cell>
          <cell r="K1064">
            <v>46035</v>
          </cell>
        </row>
        <row r="1065">
          <cell r="B1065" t="str">
            <v>MAC_COIEspectro_95</v>
          </cell>
          <cell r="C1065" t="str">
            <v>JH_00182</v>
          </cell>
          <cell r="D1065" t="str">
            <v>M0839</v>
          </cell>
          <cell r="E1065" t="str">
            <v>COI ESPECTRO 2026</v>
          </cell>
          <cell r="F1065" t="str">
            <v>Sitios Nuevos 3.5</v>
          </cell>
          <cell r="G1065">
            <v>2026</v>
          </cell>
          <cell r="H1065" t="str">
            <v>Actualizar</v>
          </cell>
          <cell r="I1065" t="str">
            <v>Roy Bocanegra</v>
          </cell>
          <cell r="J1065" t="str">
            <v>En Búsqueda</v>
          </cell>
          <cell r="K1065">
            <v>46035</v>
          </cell>
        </row>
        <row r="1066">
          <cell r="B1066" t="str">
            <v>MAC_COIEspectro_96</v>
          </cell>
          <cell r="C1066" t="str">
            <v>JHG_00518</v>
          </cell>
          <cell r="D1066" t="str">
            <v>M0839</v>
          </cell>
          <cell r="E1066" t="str">
            <v>COI ESPECTRO 2026</v>
          </cell>
          <cell r="F1066" t="str">
            <v>Sitios Nuevos 3.5</v>
          </cell>
          <cell r="G1066">
            <v>2026</v>
          </cell>
          <cell r="H1066" t="str">
            <v>Actualizar</v>
          </cell>
          <cell r="I1066" t="str">
            <v>Roy Bocanegra</v>
          </cell>
          <cell r="J1066" t="str">
            <v>En Búsqueda</v>
          </cell>
          <cell r="K1066">
            <v>46035</v>
          </cell>
        </row>
        <row r="1067">
          <cell r="B1067" t="str">
            <v>MAC_COIEspectro_97</v>
          </cell>
          <cell r="C1067" t="str">
            <v>LS_00241</v>
          </cell>
          <cell r="D1067" t="str">
            <v>M0839</v>
          </cell>
          <cell r="E1067" t="str">
            <v>COI ESPECTRO 2026</v>
          </cell>
          <cell r="F1067" t="str">
            <v>Sitios Nuevos 3.5</v>
          </cell>
          <cell r="G1067">
            <v>2026</v>
          </cell>
          <cell r="H1067" t="str">
            <v>Actualizar</v>
          </cell>
          <cell r="I1067" t="str">
            <v>Roy Bocanegra</v>
          </cell>
          <cell r="J1067" t="str">
            <v>En Búsqueda</v>
          </cell>
          <cell r="K1067">
            <v>46035</v>
          </cell>
        </row>
        <row r="1068">
          <cell r="B1068" t="str">
            <v>MAC_COIAdicional5G_1</v>
          </cell>
          <cell r="C1068" t="str">
            <v>013143476_AQ_HospitalNacionalEscobedo</v>
          </cell>
          <cell r="D1068" t="str">
            <v>M0840</v>
          </cell>
          <cell r="E1068" t="str">
            <v>COI ADICIONAL 2026</v>
          </cell>
          <cell r="F1068" t="str">
            <v>Sitios Nuevos 3.5</v>
          </cell>
          <cell r="G1068">
            <v>2026</v>
          </cell>
          <cell r="H1068" t="str">
            <v>Actualizar</v>
          </cell>
          <cell r="I1068" t="str">
            <v>Roy Bocanegra</v>
          </cell>
          <cell r="J1068" t="str">
            <v>En Búsqueda</v>
          </cell>
          <cell r="K1068">
            <v>46035</v>
          </cell>
        </row>
        <row r="1069">
          <cell r="B1069" t="str">
            <v>MAC_COIAdicional5G_3</v>
          </cell>
          <cell r="C1069" t="str">
            <v>013241392_LA_HospitalRegionalLambayeque</v>
          </cell>
          <cell r="D1069" t="str">
            <v>M0840</v>
          </cell>
          <cell r="E1069" t="str">
            <v>COI ADICIONAL 2026</v>
          </cell>
          <cell r="F1069" t="str">
            <v>Sitios Nuevos 3.5</v>
          </cell>
          <cell r="G1069">
            <v>2026</v>
          </cell>
          <cell r="H1069" t="str">
            <v>Actualizar</v>
          </cell>
          <cell r="I1069" t="str">
            <v>Roy Bocanegra</v>
          </cell>
          <cell r="J1069" t="str">
            <v>En Búsqueda</v>
          </cell>
          <cell r="K1069">
            <v>46035</v>
          </cell>
        </row>
        <row r="1070">
          <cell r="B1070" t="str">
            <v>MAC_COIAdicional5G_5</v>
          </cell>
          <cell r="C1070" t="str">
            <v>013253010_LM_VillaPanamericanaAtletas</v>
          </cell>
          <cell r="D1070" t="str">
            <v>M0840</v>
          </cell>
          <cell r="E1070" t="str">
            <v>COI ADICIONAL 2026</v>
          </cell>
          <cell r="F1070" t="str">
            <v>Sitios Nuevos 3.5</v>
          </cell>
          <cell r="G1070">
            <v>2026</v>
          </cell>
          <cell r="H1070" t="str">
            <v>Actualizar</v>
          </cell>
          <cell r="I1070" t="str">
            <v>Roy Bocanegra</v>
          </cell>
          <cell r="J1070" t="str">
            <v>En Búsqueda</v>
          </cell>
          <cell r="K1070">
            <v>46035</v>
          </cell>
        </row>
        <row r="1071">
          <cell r="B1071" t="str">
            <v>MAC_COIAdicional5G_2</v>
          </cell>
          <cell r="C1071" t="str">
            <v>013233108_LI_HospitalVirgenDeLaPuerta</v>
          </cell>
          <cell r="D1071" t="str">
            <v>M0840</v>
          </cell>
          <cell r="E1071" t="str">
            <v>COI ADICIONAL 2026</v>
          </cell>
          <cell r="F1071" t="str">
            <v>Sitios Nuevos 3.5</v>
          </cell>
          <cell r="G1071">
            <v>2026</v>
          </cell>
          <cell r="H1071" t="str">
            <v>Actualizar</v>
          </cell>
          <cell r="I1071" t="str">
            <v>Roy Bocanegra</v>
          </cell>
          <cell r="J1071" t="str">
            <v>En Saneamiento</v>
          </cell>
          <cell r="K1071">
            <v>46035</v>
          </cell>
        </row>
        <row r="1072">
          <cell r="B1072" t="str">
            <v>MAC_COIAdicional5G_4</v>
          </cell>
          <cell r="C1072" t="str">
            <v>013252898_LM_UniNacionalBarranca</v>
          </cell>
          <cell r="D1072" t="str">
            <v>M0840</v>
          </cell>
          <cell r="E1072" t="str">
            <v>COI ADICIONAL 2026</v>
          </cell>
          <cell r="F1072" t="str">
            <v>Sitios Nuevos 3.5</v>
          </cell>
          <cell r="G1072">
            <v>2026</v>
          </cell>
          <cell r="H1072" t="str">
            <v>Actualizar</v>
          </cell>
          <cell r="I1072" t="str">
            <v>Roy Bocanegra</v>
          </cell>
          <cell r="J1072" t="str">
            <v>En Saneamiento</v>
          </cell>
          <cell r="K1072">
            <v>46035</v>
          </cell>
        </row>
        <row r="1073">
          <cell r="B1073" t="str">
            <v>MAC_MUER_1</v>
          </cell>
          <cell r="C1073" t="str">
            <v>013155440_AY_HuancaSancos</v>
          </cell>
          <cell r="D1073" t="str">
            <v>Sin COD</v>
          </cell>
          <cell r="E1073" t="str">
            <v>MUER 3500 2026</v>
          </cell>
          <cell r="F1073" t="str">
            <v>Sitios Nuevos 3.5</v>
          </cell>
          <cell r="G1073">
            <v>2026</v>
          </cell>
          <cell r="H1073" t="str">
            <v>Actualizar</v>
          </cell>
          <cell r="I1073" t="str">
            <v>Roy Bocanegra</v>
          </cell>
          <cell r="J1073" t="str">
            <v>En Búsqueda</v>
          </cell>
          <cell r="K1073">
            <v>46035</v>
          </cell>
        </row>
        <row r="1074">
          <cell r="B1074" t="str">
            <v>MAC_MUER_2</v>
          </cell>
          <cell r="C1074" t="str">
            <v>013355443_UY_AtalayaRaimondi</v>
          </cell>
          <cell r="D1074" t="str">
            <v>Sin COD</v>
          </cell>
          <cell r="E1074" t="str">
            <v>MUER 3500 2026</v>
          </cell>
          <cell r="F1074" t="str">
            <v>Sitios Nuevos 3.5</v>
          </cell>
          <cell r="G1074">
            <v>2026</v>
          </cell>
          <cell r="H1074" t="str">
            <v>Actualizar</v>
          </cell>
          <cell r="I1074" t="str">
            <v>Roy Bocanegra</v>
          </cell>
          <cell r="J1074" t="str">
            <v>En Búsqueda</v>
          </cell>
          <cell r="K1074">
            <v>46035</v>
          </cell>
        </row>
        <row r="1075">
          <cell r="B1075" t="str">
            <v>MAC_MUER_3</v>
          </cell>
          <cell r="C1075" t="str">
            <v>013265435_LO_Caballococha</v>
          </cell>
          <cell r="D1075" t="str">
            <v>Sin COD</v>
          </cell>
          <cell r="E1075" t="str">
            <v>MUER 3500 2026</v>
          </cell>
          <cell r="F1075" t="str">
            <v>Sitios Nuevos 3.5</v>
          </cell>
          <cell r="G1075">
            <v>2026</v>
          </cell>
          <cell r="H1075" t="str">
            <v>Actualizar</v>
          </cell>
          <cell r="I1075" t="str">
            <v>Roy Bocanegra</v>
          </cell>
          <cell r="J1075" t="str">
            <v>En Búsqueda</v>
          </cell>
          <cell r="K1075">
            <v>46035</v>
          </cell>
        </row>
        <row r="1076">
          <cell r="B1076" t="str">
            <v>MAC_MUER_4</v>
          </cell>
          <cell r="C1076" t="str">
            <v>013135438_AP_Challhuahuacho</v>
          </cell>
          <cell r="D1076" t="str">
            <v>Sin COD</v>
          </cell>
          <cell r="E1076" t="str">
            <v>MUER 3500 2026</v>
          </cell>
          <cell r="F1076" t="str">
            <v>Sitios Nuevos 3.5</v>
          </cell>
          <cell r="G1076">
            <v>2026</v>
          </cell>
          <cell r="H1076" t="str">
            <v>Actualizar</v>
          </cell>
          <cell r="I1076" t="str">
            <v>Roy Bocanegra</v>
          </cell>
          <cell r="J1076" t="str">
            <v>En Búsqueda</v>
          </cell>
          <cell r="K1076">
            <v>46035</v>
          </cell>
        </row>
        <row r="1077">
          <cell r="B1077" t="str">
            <v>MAC_MUER_5</v>
          </cell>
          <cell r="C1077" t="str">
            <v>013235431_LI_Bolivar</v>
          </cell>
          <cell r="D1077" t="str">
            <v>Sin COD</v>
          </cell>
          <cell r="E1077" t="str">
            <v>MUER 3500 2026</v>
          </cell>
          <cell r="F1077" t="str">
            <v>Sitios Nuevos 3.5</v>
          </cell>
          <cell r="G1077">
            <v>2026</v>
          </cell>
          <cell r="H1077" t="str">
            <v>Actualizar</v>
          </cell>
          <cell r="I1077" t="str">
            <v>Roy Bocanegra</v>
          </cell>
          <cell r="J1077" t="str">
            <v>En Búsqueda</v>
          </cell>
          <cell r="K1077">
            <v>46035</v>
          </cell>
        </row>
        <row r="1078">
          <cell r="B1078" t="str">
            <v>MAC_MUER_6</v>
          </cell>
          <cell r="C1078" t="str">
            <v>013235433_LI_Cascas</v>
          </cell>
          <cell r="D1078" t="str">
            <v>Sin COD</v>
          </cell>
          <cell r="E1078" t="str">
            <v>MUER 3500 2026</v>
          </cell>
          <cell r="F1078" t="str">
            <v>Sitios Nuevos 3.5</v>
          </cell>
          <cell r="G1078">
            <v>2026</v>
          </cell>
          <cell r="H1078" t="str">
            <v>Actualizar</v>
          </cell>
          <cell r="I1078" t="str">
            <v>Roy Bocanegra</v>
          </cell>
          <cell r="J1078" t="str">
            <v>En Búsqueda</v>
          </cell>
          <cell r="K1078">
            <v>46035</v>
          </cell>
        </row>
        <row r="1079">
          <cell r="B1079" t="str">
            <v>MAC_MUER_7</v>
          </cell>
          <cell r="C1079" t="str">
            <v>013125426_AN_Ocros</v>
          </cell>
          <cell r="D1079" t="str">
            <v>Sin COD</v>
          </cell>
          <cell r="E1079" t="str">
            <v>MUER 3500 2026</v>
          </cell>
          <cell r="F1079" t="str">
            <v>Sitios Nuevos 3.5</v>
          </cell>
          <cell r="G1079">
            <v>2026</v>
          </cell>
          <cell r="H1079" t="str">
            <v>Actualizar</v>
          </cell>
          <cell r="I1079" t="str">
            <v>Roy Bocanegra</v>
          </cell>
          <cell r="J1079" t="str">
            <v>En Búsqueda</v>
          </cell>
          <cell r="K1079">
            <v>46035</v>
          </cell>
        </row>
        <row r="1080">
          <cell r="B1080" t="str">
            <v>MAC_MUER_8</v>
          </cell>
          <cell r="C1080" t="str">
            <v>013265434_LO_Saramiriza</v>
          </cell>
          <cell r="D1080" t="str">
            <v>Sin COD</v>
          </cell>
          <cell r="E1080" t="str">
            <v>MUER 3500 2026</v>
          </cell>
          <cell r="F1080" t="str">
            <v>Sitios Nuevos 3.5</v>
          </cell>
          <cell r="G1080">
            <v>2026</v>
          </cell>
          <cell r="H1080" t="str">
            <v>Actualizar</v>
          </cell>
          <cell r="I1080" t="str">
            <v>Roy Bocanegra</v>
          </cell>
          <cell r="J1080" t="str">
            <v>En Búsqueda</v>
          </cell>
          <cell r="K1080">
            <v>46035</v>
          </cell>
        </row>
        <row r="1081">
          <cell r="B1081" t="str">
            <v>MAC_MUER_9</v>
          </cell>
          <cell r="C1081" t="str">
            <v>013135437_AP_Antabamba</v>
          </cell>
          <cell r="D1081" t="str">
            <v>Sin COD</v>
          </cell>
          <cell r="E1081" t="str">
            <v>MUER 3500 2026</v>
          </cell>
          <cell r="F1081" t="str">
            <v>Sitios Nuevos 3.5</v>
          </cell>
          <cell r="G1081">
            <v>2026</v>
          </cell>
          <cell r="H1081" t="str">
            <v>Actualizar</v>
          </cell>
          <cell r="I1081" t="str">
            <v>Roy Bocanegra</v>
          </cell>
          <cell r="J1081" t="str">
            <v>En Búsqueda</v>
          </cell>
          <cell r="K1081">
            <v>46035</v>
          </cell>
        </row>
        <row r="1082">
          <cell r="B1082" t="str">
            <v>MAC_MUER_10</v>
          </cell>
          <cell r="C1082" t="str">
            <v>013205441_LH_JesusLauricocha</v>
          </cell>
          <cell r="D1082" t="str">
            <v>Sin COD</v>
          </cell>
          <cell r="E1082" t="str">
            <v>MUER 3500 2026</v>
          </cell>
          <cell r="F1082" t="str">
            <v>Sitios Nuevos 3.5</v>
          </cell>
          <cell r="G1082">
            <v>2026</v>
          </cell>
          <cell r="H1082" t="str">
            <v>Actualizar</v>
          </cell>
          <cell r="I1082" t="str">
            <v>Roy Bocanegra</v>
          </cell>
          <cell r="J1082" t="str">
            <v>En Búsqueda</v>
          </cell>
          <cell r="K1082">
            <v>46035</v>
          </cell>
        </row>
        <row r="1083">
          <cell r="B1083" t="str">
            <v>MAC_MUER_11</v>
          </cell>
          <cell r="C1083" t="str">
            <v xml:space="preserve">013265436_LO_SanAntonioEstrecho </v>
          </cell>
          <cell r="D1083" t="str">
            <v>Sin COD</v>
          </cell>
          <cell r="E1083" t="str">
            <v>MUER 3500 2026</v>
          </cell>
          <cell r="F1083" t="str">
            <v>Sitios Nuevos 3.5</v>
          </cell>
          <cell r="G1083">
            <v>2026</v>
          </cell>
          <cell r="H1083" t="str">
            <v>Actualizar</v>
          </cell>
          <cell r="I1083" t="str">
            <v>Roy Bocanegra</v>
          </cell>
          <cell r="J1083" t="str">
            <v>En Búsqueda</v>
          </cell>
          <cell r="K1083">
            <v>46035</v>
          </cell>
        </row>
        <row r="1084">
          <cell r="B1084" t="str">
            <v>MAC_MUER_12</v>
          </cell>
          <cell r="C1084" t="str">
            <v>013345439_TA_Tarata</v>
          </cell>
          <cell r="D1084" t="str">
            <v>Sin COD</v>
          </cell>
          <cell r="E1084" t="str">
            <v>MUER 3500 2026</v>
          </cell>
          <cell r="F1084" t="str">
            <v>Sitios Nuevos 3.5</v>
          </cell>
          <cell r="G1084">
            <v>2026</v>
          </cell>
          <cell r="H1084" t="str">
            <v>Actualizar</v>
          </cell>
          <cell r="I1084" t="str">
            <v>Roy Bocanegra</v>
          </cell>
          <cell r="J1084" t="str">
            <v>En Búsqueda</v>
          </cell>
          <cell r="K1084">
            <v>46035</v>
          </cell>
        </row>
        <row r="1085">
          <cell r="B1085" t="str">
            <v>MAC_MUER_13</v>
          </cell>
          <cell r="C1085" t="str">
            <v>013115424_AZ_Yutupis</v>
          </cell>
          <cell r="D1085" t="str">
            <v>Sin COD</v>
          </cell>
          <cell r="E1085" t="str">
            <v>MUER 3500 2026</v>
          </cell>
          <cell r="F1085" t="str">
            <v>Sitios Nuevos 3.5</v>
          </cell>
          <cell r="G1085">
            <v>2026</v>
          </cell>
          <cell r="H1085" t="str">
            <v>Actualizar</v>
          </cell>
          <cell r="I1085" t="str">
            <v>Roy Bocanegra</v>
          </cell>
          <cell r="J1085" t="str">
            <v>En Búsqueda</v>
          </cell>
          <cell r="K1085">
            <v>46035</v>
          </cell>
        </row>
        <row r="1086">
          <cell r="B1086" t="str">
            <v>MAC_MUER_14</v>
          </cell>
          <cell r="C1086" t="str">
            <v xml:space="preserve">013355444_UY_EsperanzaPurus </v>
          </cell>
          <cell r="D1086" t="str">
            <v>Sin COD</v>
          </cell>
          <cell r="E1086" t="str">
            <v>MUER 3500 2026</v>
          </cell>
          <cell r="F1086" t="str">
            <v>Sitios Nuevos 3.5</v>
          </cell>
          <cell r="G1086">
            <v>2026</v>
          </cell>
          <cell r="H1086" t="str">
            <v>Actualizar</v>
          </cell>
          <cell r="I1086" t="str">
            <v>Roy Bocanegra</v>
          </cell>
          <cell r="J1086" t="str">
            <v>En Búsqueda</v>
          </cell>
          <cell r="K1086">
            <v>46035</v>
          </cell>
        </row>
        <row r="1087">
          <cell r="B1087" t="str">
            <v>TDD_177</v>
          </cell>
          <cell r="C1087" t="str">
            <v>0133944_AQ_Parque_Fujimori</v>
          </cell>
          <cell r="D1087" t="str">
            <v>M0821</v>
          </cell>
          <cell r="E1087" t="str">
            <v>RANCO TDD ADELANTO Q1 2026</v>
          </cell>
          <cell r="F1087" t="str">
            <v>Expansiones</v>
          </cell>
          <cell r="G1087">
            <v>2025</v>
          </cell>
          <cell r="I1087" t="str">
            <v>Jason olivos</v>
          </cell>
          <cell r="J1087" t="str">
            <v>Por Actualizar</v>
          </cell>
          <cell r="K1087">
            <v>46035</v>
          </cell>
        </row>
        <row r="1088">
          <cell r="B1088" t="str">
            <v>L3.5_6</v>
          </cell>
          <cell r="C1088" t="str">
            <v>0130107_LM_Higuereta</v>
          </cell>
          <cell r="D1088" t="str">
            <v>M0824</v>
          </cell>
          <cell r="E1088" t="str">
            <v>LIMPIEZA + ACTIVACION 3.5 2025</v>
          </cell>
          <cell r="F1088" t="str">
            <v>Expansiones 3.5</v>
          </cell>
          <cell r="G1088">
            <v>2025</v>
          </cell>
          <cell r="I1088" t="str">
            <v>Nicole Aquino</v>
          </cell>
          <cell r="J1088" t="str">
            <v>Activado</v>
          </cell>
          <cell r="K1088">
            <v>46035</v>
          </cell>
        </row>
        <row r="1089">
          <cell r="B1089" t="str">
            <v>TDD_336</v>
          </cell>
          <cell r="C1089" t="str">
            <v>0135867_LM_Oscar_Chocano</v>
          </cell>
          <cell r="D1089" t="str">
            <v>M0821</v>
          </cell>
          <cell r="E1089" t="str">
            <v>RANCO TDD ADELANTO Q1 2026</v>
          </cell>
          <cell r="F1089" t="str">
            <v>Expansiones</v>
          </cell>
          <cell r="G1089">
            <v>2025</v>
          </cell>
          <cell r="I1089" t="str">
            <v>Jason olivos</v>
          </cell>
          <cell r="J1089" t="str">
            <v>Por Actualizar</v>
          </cell>
          <cell r="K1089">
            <v>46036</v>
          </cell>
        </row>
        <row r="1090">
          <cell r="B1090" t="str">
            <v>TDD_8</v>
          </cell>
          <cell r="C1090" t="str">
            <v>0130591_LM_Gamarra2</v>
          </cell>
          <cell r="D1090" t="str">
            <v>M0821</v>
          </cell>
          <cell r="E1090" t="str">
            <v>RANCO TDD ADELANTO Q1 2026</v>
          </cell>
          <cell r="F1090" t="str">
            <v>Expansiones</v>
          </cell>
          <cell r="G1090">
            <v>2025</v>
          </cell>
          <cell r="I1090" t="str">
            <v>Jason olivos</v>
          </cell>
          <cell r="J1090" t="str">
            <v>Por Actualizar</v>
          </cell>
          <cell r="K1090">
            <v>46036</v>
          </cell>
        </row>
        <row r="1091">
          <cell r="B1091">
            <v>624</v>
          </cell>
          <cell r="C1091" t="str">
            <v>0130598_PI_Cow_Exalmar</v>
          </cell>
          <cell r="D1091" t="str">
            <v>Sin COD</v>
          </cell>
          <cell r="E1091" t="str">
            <v>COBERTURA 2025</v>
          </cell>
          <cell r="F1091" t="str">
            <v>Expansiones</v>
          </cell>
          <cell r="G1091">
            <v>2025</v>
          </cell>
          <cell r="I1091" t="str">
            <v>Jason olivos</v>
          </cell>
          <cell r="J1091" t="str">
            <v>Por Actualizar</v>
          </cell>
          <cell r="K1091">
            <v>46036</v>
          </cell>
        </row>
        <row r="1092">
          <cell r="B1092">
            <v>661</v>
          </cell>
          <cell r="C1092" t="str">
            <v>0131097_LA_Sarmiento_De_Gamboa</v>
          </cell>
          <cell r="D1092" t="str">
            <v>Sin COD</v>
          </cell>
          <cell r="E1092" t="str">
            <v>PENDIENTE</v>
          </cell>
          <cell r="F1092" t="str">
            <v>Expansiones</v>
          </cell>
          <cell r="G1092">
            <v>2025</v>
          </cell>
          <cell r="I1092" t="str">
            <v>Jason olivos</v>
          </cell>
          <cell r="J1092" t="str">
            <v>Por Actualizar</v>
          </cell>
          <cell r="K1092">
            <v>46036</v>
          </cell>
        </row>
        <row r="1093">
          <cell r="B1093" t="str">
            <v>FDD_77</v>
          </cell>
          <cell r="C1093" t="str">
            <v>0132310_SM_Morales</v>
          </cell>
          <cell r="D1093" t="str">
            <v>M0674</v>
          </cell>
          <cell r="E1093" t="str">
            <v>RANCO FDD 2025</v>
          </cell>
          <cell r="F1093" t="str">
            <v>Expansiones</v>
          </cell>
          <cell r="G1093">
            <v>2025</v>
          </cell>
          <cell r="I1093" t="str">
            <v>Jason olivos</v>
          </cell>
          <cell r="J1093" t="str">
            <v>Por Actualizar</v>
          </cell>
          <cell r="K1093">
            <v>46037</v>
          </cell>
        </row>
        <row r="1094">
          <cell r="B1094" t="str">
            <v>MAC_COIAdicional5G_17</v>
          </cell>
          <cell r="C1094" t="str">
            <v>013252533_LM_PS_HospitalNacionalLoayza</v>
          </cell>
          <cell r="D1094" t="str">
            <v>M0840</v>
          </cell>
          <cell r="E1094" t="str">
            <v>COI ADICIONAL 2026</v>
          </cell>
          <cell r="F1094" t="str">
            <v>Sitios Nuevos 3.5</v>
          </cell>
          <cell r="G1094">
            <v>2026</v>
          </cell>
          <cell r="I1094" t="str">
            <v>Roy Bocanegra</v>
          </cell>
          <cell r="J1094" t="str">
            <v>Permisos</v>
          </cell>
          <cell r="K1094">
            <v>46041</v>
          </cell>
        </row>
        <row r="1095">
          <cell r="B1095" t="str">
            <v>MAC_COIAdicional5G_18</v>
          </cell>
          <cell r="C1095" t="str">
            <v>013252539_LM_PS_HospitalNacionalLoayza2</v>
          </cell>
          <cell r="D1095" t="str">
            <v>M0840</v>
          </cell>
          <cell r="E1095" t="str">
            <v>COI ADICIONAL 2026</v>
          </cell>
          <cell r="F1095" t="str">
            <v>Sitios Nuevos 3.5</v>
          </cell>
          <cell r="G1095">
            <v>2026</v>
          </cell>
          <cell r="I1095" t="str">
            <v>Roy Bocanegra</v>
          </cell>
          <cell r="J1095" t="str">
            <v>Permisos</v>
          </cell>
          <cell r="K1095">
            <v>46041</v>
          </cell>
        </row>
        <row r="1096">
          <cell r="B1096" t="str">
            <v>MAC_COIAdicional5G_27</v>
          </cell>
          <cell r="C1096" t="str">
            <v>013251458_LM_PS_HospGuillermoAlmenara</v>
          </cell>
          <cell r="D1096" t="str">
            <v>M0840</v>
          </cell>
          <cell r="E1096" t="str">
            <v>COI ADICIONAL 2026</v>
          </cell>
          <cell r="F1096" t="str">
            <v>Sitios Nuevos 3.5</v>
          </cell>
          <cell r="G1096">
            <v>2026</v>
          </cell>
          <cell r="I1096" t="str">
            <v>Roy Bocanegra</v>
          </cell>
          <cell r="J1096" t="str">
            <v>Permisos</v>
          </cell>
          <cell r="K1096">
            <v>46041</v>
          </cell>
        </row>
        <row r="1097">
          <cell r="B1097" t="str">
            <v>MAC_COIAdicional5G_33</v>
          </cell>
          <cell r="C1097" t="str">
            <v>013252534_LM_PS_HospitalHermilioValdizan</v>
          </cell>
          <cell r="D1097" t="str">
            <v>M0840</v>
          </cell>
          <cell r="E1097" t="str">
            <v>COI ADICIONAL 2026</v>
          </cell>
          <cell r="F1097" t="str">
            <v>Sitios Nuevos 3.5</v>
          </cell>
          <cell r="G1097">
            <v>2026</v>
          </cell>
          <cell r="I1097" t="str">
            <v>Roy Bocanegra</v>
          </cell>
          <cell r="J1097" t="str">
            <v>Permisos</v>
          </cell>
          <cell r="K1097">
            <v>46041</v>
          </cell>
        </row>
        <row r="1098">
          <cell r="B1098" t="str">
            <v>MAC_COIAdicional5G_39</v>
          </cell>
          <cell r="C1098" t="str">
            <v>013252540_LM_PS_HospitalMariaAuxiliadora</v>
          </cell>
          <cell r="D1098" t="str">
            <v>M0840</v>
          </cell>
          <cell r="E1098" t="str">
            <v>COI ADICIONAL 2026</v>
          </cell>
          <cell r="F1098" t="str">
            <v>Sitios Nuevos 3.5</v>
          </cell>
          <cell r="G1098">
            <v>2026</v>
          </cell>
          <cell r="I1098" t="str">
            <v>Roy Bocanegra</v>
          </cell>
          <cell r="J1098" t="str">
            <v>Permisos</v>
          </cell>
          <cell r="K1098">
            <v>46041</v>
          </cell>
        </row>
        <row r="1099">
          <cell r="B1099" t="str">
            <v>MAC_COIAdicional5G_19</v>
          </cell>
          <cell r="C1099" t="str">
            <v>013253344_LM_PS_HospitalRebagliati</v>
          </cell>
          <cell r="D1099" t="str">
            <v>M0840</v>
          </cell>
          <cell r="E1099" t="str">
            <v>COI ADICIONAL 2026</v>
          </cell>
          <cell r="F1099" t="str">
            <v>Sitios Nuevos 3.5</v>
          </cell>
          <cell r="G1099">
            <v>2026</v>
          </cell>
          <cell r="I1099" t="str">
            <v>Roy Bocanegra</v>
          </cell>
          <cell r="J1099" t="str">
            <v>Permisos</v>
          </cell>
          <cell r="K1099">
            <v>46041</v>
          </cell>
        </row>
        <row r="1100">
          <cell r="B1100" t="str">
            <v>MAC_COIAdicional5G_20</v>
          </cell>
          <cell r="C1100" t="str">
            <v>013252835_LM_PS_HospitalRebagliati2</v>
          </cell>
          <cell r="D1100" t="str">
            <v>M0840</v>
          </cell>
          <cell r="E1100" t="str">
            <v>COI ADICIONAL 2026</v>
          </cell>
          <cell r="F1100" t="str">
            <v>Sitios Nuevos 3.5</v>
          </cell>
          <cell r="G1100">
            <v>2026</v>
          </cell>
          <cell r="I1100" t="str">
            <v>Roy Bocanegra</v>
          </cell>
          <cell r="J1100" t="str">
            <v>Permisos</v>
          </cell>
          <cell r="K1100">
            <v>46041</v>
          </cell>
        </row>
        <row r="1101">
          <cell r="B1101" t="str">
            <v>MAC_COIAdicional5G_65</v>
          </cell>
          <cell r="C1101" t="str">
            <v>013253180_LM_PS_HospitalNavalBellavista</v>
          </cell>
          <cell r="D1101" t="str">
            <v>M0840</v>
          </cell>
          <cell r="E1101" t="str">
            <v>COI ADICIONAL 2026</v>
          </cell>
          <cell r="F1101" t="str">
            <v>Sitios Nuevos 3.5</v>
          </cell>
          <cell r="G1101">
            <v>2026</v>
          </cell>
          <cell r="I1101" t="str">
            <v>Roy Bocanegra</v>
          </cell>
          <cell r="J1101" t="str">
            <v>Permisos</v>
          </cell>
          <cell r="K1101">
            <v>46041</v>
          </cell>
        </row>
        <row r="1102">
          <cell r="B1102" t="str">
            <v>MAC_COIAdicional5G_21</v>
          </cell>
          <cell r="C1102" t="str">
            <v>013251456_LM_PS_InstitutoNacionalDelNino</v>
          </cell>
          <cell r="D1102" t="str">
            <v>M0840</v>
          </cell>
          <cell r="E1102" t="str">
            <v>COI ADICIONAL 2026</v>
          </cell>
          <cell r="F1102" t="str">
            <v>Sitios Nuevos 3.5</v>
          </cell>
          <cell r="G1102">
            <v>2026</v>
          </cell>
          <cell r="I1102" t="str">
            <v>Roy Bocanegra</v>
          </cell>
          <cell r="J1102" t="str">
            <v>Permisos</v>
          </cell>
          <cell r="K1102">
            <v>46041</v>
          </cell>
        </row>
        <row r="1103">
          <cell r="B1103" t="str">
            <v>MAC_COIAdicional5G_66</v>
          </cell>
          <cell r="C1103" t="str">
            <v>013250992_LM_PS_UniNacionalCallao</v>
          </cell>
          <cell r="D1103" t="str">
            <v>M0840</v>
          </cell>
          <cell r="E1103" t="str">
            <v>COI ADICIONAL 2026</v>
          </cell>
          <cell r="F1103" t="str">
            <v>Sitios Nuevos 3.5</v>
          </cell>
          <cell r="G1103">
            <v>2026</v>
          </cell>
          <cell r="I1103" t="str">
            <v>Roy Bocanegra</v>
          </cell>
          <cell r="J1103" t="str">
            <v>Permisos</v>
          </cell>
          <cell r="K1103">
            <v>46041</v>
          </cell>
        </row>
        <row r="1104">
          <cell r="B1104" t="str">
            <v>MAC_COIAdicional5G_59</v>
          </cell>
          <cell r="C1104" t="str">
            <v>013184226_CS_PS_AntonioLorenaDelCusco</v>
          </cell>
          <cell r="D1104" t="str">
            <v>M0840</v>
          </cell>
          <cell r="E1104" t="str">
            <v>COI ADICIONAL 2026</v>
          </cell>
          <cell r="F1104" t="str">
            <v>Sitios Nuevos 3.5</v>
          </cell>
          <cell r="G1104">
            <v>2026</v>
          </cell>
          <cell r="I1104" t="str">
            <v>Roy Bocanegra</v>
          </cell>
          <cell r="J1104" t="str">
            <v>Permisos</v>
          </cell>
          <cell r="K1104">
            <v>46041</v>
          </cell>
        </row>
        <row r="1105">
          <cell r="B1105" t="str">
            <v>MAC_COIAdicional5G_72</v>
          </cell>
          <cell r="C1105" t="str">
            <v>013143729_AQ_PS_HospitalGoyeneche</v>
          </cell>
          <cell r="D1105" t="str">
            <v>M0840</v>
          </cell>
          <cell r="E1105" t="str">
            <v>COI ADICIONAL 2026</v>
          </cell>
          <cell r="F1105" t="str">
            <v>Sitios Nuevos 3.5</v>
          </cell>
          <cell r="G1105">
            <v>2026</v>
          </cell>
          <cell r="I1105" t="str">
            <v>Roy Bocanegra</v>
          </cell>
          <cell r="J1105" t="str">
            <v>Permisos</v>
          </cell>
          <cell r="K1105">
            <v>46041</v>
          </cell>
        </row>
        <row r="1106">
          <cell r="B1106" t="str">
            <v>MAC_COIAdicional5G_73</v>
          </cell>
          <cell r="C1106" t="str">
            <v>013144352_AQ_PS_InstNeoplasicasDelSur</v>
          </cell>
          <cell r="D1106" t="str">
            <v>M0840</v>
          </cell>
          <cell r="E1106" t="str">
            <v>COI ADICIONAL 2026</v>
          </cell>
          <cell r="F1106" t="str">
            <v>Sitios Nuevos 3.5</v>
          </cell>
          <cell r="G1106">
            <v>2026</v>
          </cell>
          <cell r="I1106" t="str">
            <v>Roy Bocanegra</v>
          </cell>
          <cell r="J1106" t="str">
            <v>Permisos</v>
          </cell>
          <cell r="K1106">
            <v>46041</v>
          </cell>
        </row>
        <row r="1107">
          <cell r="B1107" t="str">
            <v>MAC_COIAdicional5G_13</v>
          </cell>
          <cell r="C1107" t="str">
            <v>013313507_PN_PS_UniNacionalAltiplano2</v>
          </cell>
          <cell r="D1107" t="str">
            <v>M0840</v>
          </cell>
          <cell r="E1107" t="str">
            <v>COI ADICIONAL 2026</v>
          </cell>
          <cell r="F1107" t="str">
            <v>Sitios Nuevos 3.5</v>
          </cell>
          <cell r="G1107">
            <v>2026</v>
          </cell>
          <cell r="I1107" t="str">
            <v>Roy Bocanegra</v>
          </cell>
          <cell r="J1107" t="str">
            <v>Permisos</v>
          </cell>
          <cell r="K1107">
            <v>46041</v>
          </cell>
        </row>
        <row r="1108">
          <cell r="B1108" t="str">
            <v>MAC_COIAdicional5G_75</v>
          </cell>
          <cell r="C1108" t="str">
            <v>013143504_AQ_PS_UniSanAgustinArequipa</v>
          </cell>
          <cell r="D1108" t="str">
            <v>M0840</v>
          </cell>
          <cell r="E1108" t="str">
            <v>COI ADICIONAL 2026</v>
          </cell>
          <cell r="F1108" t="str">
            <v>Sitios Nuevos 3.5</v>
          </cell>
          <cell r="G1108">
            <v>2026</v>
          </cell>
          <cell r="I1108" t="str">
            <v>Roy Bocanegra</v>
          </cell>
          <cell r="J1108" t="str">
            <v>Permisos</v>
          </cell>
          <cell r="K1108">
            <v>46041</v>
          </cell>
        </row>
        <row r="1109">
          <cell r="B1109" t="str">
            <v>MAC_COIAdicional5G_60</v>
          </cell>
          <cell r="C1109" t="str">
            <v>013183385_CS_PS_HospDepartamentalCusco</v>
          </cell>
          <cell r="D1109" t="str">
            <v>M0840</v>
          </cell>
          <cell r="E1109" t="str">
            <v>COI ADICIONAL 2026</v>
          </cell>
          <cell r="F1109" t="str">
            <v>Sitios Nuevos 3.5</v>
          </cell>
          <cell r="G1109">
            <v>2026</v>
          </cell>
          <cell r="I1109" t="str">
            <v>Roy Bocanegra</v>
          </cell>
          <cell r="J1109" t="str">
            <v>Permisos</v>
          </cell>
          <cell r="K1109">
            <v>46041</v>
          </cell>
        </row>
        <row r="1110">
          <cell r="B1110" t="str">
            <v>MAC_COIAdicional5G_71</v>
          </cell>
          <cell r="C1110" t="str">
            <v xml:space="preserve">013144355_AQ_PS_HospitalHonorioDelgado </v>
          </cell>
          <cell r="D1110" t="str">
            <v>M0840</v>
          </cell>
          <cell r="E1110" t="str">
            <v>COI ADICIONAL 2026</v>
          </cell>
          <cell r="F1110" t="str">
            <v>Sitios Nuevos 3.5</v>
          </cell>
          <cell r="G1110">
            <v>2026</v>
          </cell>
          <cell r="I1110" t="str">
            <v>Roy Bocanegra</v>
          </cell>
          <cell r="J1110" t="str">
            <v>Permisos</v>
          </cell>
          <cell r="K1110">
            <v>46041</v>
          </cell>
        </row>
        <row r="1111">
          <cell r="B1111" t="str">
            <v>MAC_COIAdicional5G_14</v>
          </cell>
          <cell r="C1111" t="str">
            <v>013313509_PN_PS_UniNacionalAltiplano</v>
          </cell>
          <cell r="D1111" t="str">
            <v>M0840</v>
          </cell>
          <cell r="E1111" t="str">
            <v>COI ADICIONAL 2026</v>
          </cell>
          <cell r="F1111" t="str">
            <v>Sitios Nuevos 3.5</v>
          </cell>
          <cell r="G1111">
            <v>2026</v>
          </cell>
          <cell r="I1111" t="str">
            <v>Roy Bocanegra</v>
          </cell>
          <cell r="J1111" t="str">
            <v>Permisos</v>
          </cell>
          <cell r="K1111">
            <v>46041</v>
          </cell>
        </row>
        <row r="1112">
          <cell r="B1112" t="str">
            <v>MAC_COIAdicional5G_12</v>
          </cell>
          <cell r="C1112" t="str">
            <v>013313403_PN_PS_UniNacionalJuliaca</v>
          </cell>
          <cell r="D1112" t="str">
            <v>M0840</v>
          </cell>
          <cell r="E1112" t="str">
            <v>COI ADICIONAL 2026</v>
          </cell>
          <cell r="F1112" t="str">
            <v>Sitios Nuevos 3.5</v>
          </cell>
          <cell r="G1112">
            <v>2026</v>
          </cell>
          <cell r="I1112" t="str">
            <v>Roy Bocanegra</v>
          </cell>
          <cell r="J1112" t="str">
            <v>Permisos</v>
          </cell>
          <cell r="K1112">
            <v>46041</v>
          </cell>
        </row>
        <row r="1113">
          <cell r="B1113" t="str">
            <v>MAC_COIAdicional5G_74</v>
          </cell>
          <cell r="C1113" t="str">
            <v>013143502_AQ_PS_UniSanAgustinArequipa2</v>
          </cell>
          <cell r="D1113" t="str">
            <v>M0840</v>
          </cell>
          <cell r="E1113" t="str">
            <v>COI ADICIONAL 2026</v>
          </cell>
          <cell r="F1113" t="str">
            <v>Sitios Nuevos 3.5</v>
          </cell>
          <cell r="G1113">
            <v>2026</v>
          </cell>
          <cell r="I1113" t="str">
            <v>Roy Bocanegra</v>
          </cell>
          <cell r="J1113" t="str">
            <v>Permisos</v>
          </cell>
          <cell r="K1113">
            <v>46041</v>
          </cell>
        </row>
        <row r="1114">
          <cell r="B1114" t="str">
            <v>MAC_COIAdicional5G_58</v>
          </cell>
          <cell r="C1114" t="str">
            <v>AdolfoGuevaraVelasco</v>
          </cell>
          <cell r="D1114" t="str">
            <v>M0840</v>
          </cell>
          <cell r="E1114" t="str">
            <v>COI ADICIONAL 2026</v>
          </cell>
          <cell r="F1114" t="str">
            <v>Sitios Nuevos 3.5</v>
          </cell>
          <cell r="G1114">
            <v>2026</v>
          </cell>
          <cell r="I1114" t="str">
            <v>Roy Bocanegra</v>
          </cell>
          <cell r="J1114" t="str">
            <v>Permisos</v>
          </cell>
          <cell r="K1114">
            <v>46041</v>
          </cell>
        </row>
        <row r="1115">
          <cell r="B1115" t="str">
            <v>MAC_COIAdicional5G_61</v>
          </cell>
          <cell r="C1115" t="str">
            <v>UniversidadNacionalAbadDelCusco</v>
          </cell>
          <cell r="D1115" t="str">
            <v>M0840</v>
          </cell>
          <cell r="E1115" t="str">
            <v>COI ADICIONAL 2026</v>
          </cell>
          <cell r="F1115" t="str">
            <v>Sitios Nuevos 3.5</v>
          </cell>
          <cell r="G1115">
            <v>2026</v>
          </cell>
          <cell r="I1115" t="str">
            <v>Roy Bocanegra</v>
          </cell>
          <cell r="J1115" t="str">
            <v>Permisos</v>
          </cell>
          <cell r="K1115">
            <v>46041</v>
          </cell>
        </row>
        <row r="1116">
          <cell r="B1116" t="str">
            <v>MAC_COIAdicional5G_62</v>
          </cell>
          <cell r="C1116" t="str">
            <v>UniversidadNacionalAbadDelCusco2</v>
          </cell>
          <cell r="D1116" t="str">
            <v>M0840</v>
          </cell>
          <cell r="E1116" t="str">
            <v>COI ADICIONAL 2026</v>
          </cell>
          <cell r="F1116" t="str">
            <v>Sitios Nuevos 3.5</v>
          </cell>
          <cell r="G1116">
            <v>2026</v>
          </cell>
          <cell r="I1116" t="str">
            <v>Roy Bocanegra</v>
          </cell>
          <cell r="J1116" t="str">
            <v>Permisos</v>
          </cell>
          <cell r="K1116">
            <v>46041</v>
          </cell>
        </row>
        <row r="1117">
          <cell r="B1117" t="str">
            <v>MAC_COIAdicional5G_40</v>
          </cell>
          <cell r="C1117" t="str">
            <v>013251460_LM_PS_HospFuerzaAereaDelPeru</v>
          </cell>
          <cell r="D1117" t="str">
            <v>M0840</v>
          </cell>
          <cell r="E1117" t="str">
            <v>COI ADICIONAL 2026</v>
          </cell>
          <cell r="F1117" t="str">
            <v>Sitios Nuevos 3.5</v>
          </cell>
          <cell r="G1117">
            <v>2026</v>
          </cell>
          <cell r="I1117" t="str">
            <v>Roy Bocanegra</v>
          </cell>
          <cell r="J1117" t="str">
            <v>Permisos</v>
          </cell>
          <cell r="K1117">
            <v>46041</v>
          </cell>
        </row>
        <row r="1118">
          <cell r="B1118" t="str">
            <v>MAC_COIAdicional5G_46</v>
          </cell>
          <cell r="C1118" t="str">
            <v>013253378_LM_PS_HospMilitarSchereiber</v>
          </cell>
          <cell r="D1118" t="str">
            <v>M0840</v>
          </cell>
          <cell r="E1118" t="str">
            <v>COI ADICIONAL 2026</v>
          </cell>
          <cell r="F1118" t="str">
            <v>Sitios Nuevos 3.5</v>
          </cell>
          <cell r="G1118">
            <v>2026</v>
          </cell>
          <cell r="I1118" t="str">
            <v>Roy Bocanegra</v>
          </cell>
          <cell r="J1118" t="str">
            <v>Permisos</v>
          </cell>
          <cell r="K1118">
            <v>46041</v>
          </cell>
        </row>
        <row r="1119">
          <cell r="B1119" t="str">
            <v>MAC_COIAdicional5G_31</v>
          </cell>
          <cell r="C1119" t="str">
            <v>013253377_LM_PS_HospMilitarSchereiber2</v>
          </cell>
          <cell r="D1119" t="str">
            <v>M0840</v>
          </cell>
          <cell r="E1119" t="str">
            <v>COI ADICIONAL 2026</v>
          </cell>
          <cell r="F1119" t="str">
            <v>Sitios Nuevos 3.5</v>
          </cell>
          <cell r="G1119">
            <v>2026</v>
          </cell>
          <cell r="I1119" t="str">
            <v>Roy Bocanegra</v>
          </cell>
          <cell r="J1119" t="str">
            <v>Permisos</v>
          </cell>
          <cell r="K1119">
            <v>46041</v>
          </cell>
        </row>
        <row r="1120">
          <cell r="B1120" t="str">
            <v>MAC_COIAdicional5G_38</v>
          </cell>
          <cell r="C1120" t="str">
            <v>013250935_LM_PS_HospitalPoliciaLuisSaenz</v>
          </cell>
          <cell r="D1120" t="str">
            <v>M0840</v>
          </cell>
          <cell r="E1120" t="str">
            <v>COI ADICIONAL 2026</v>
          </cell>
          <cell r="F1120" t="str">
            <v>Sitios Nuevos 3.5</v>
          </cell>
          <cell r="G1120">
            <v>2026</v>
          </cell>
          <cell r="I1120" t="str">
            <v>Roy Bocanegra</v>
          </cell>
          <cell r="J1120" t="str">
            <v>Permisos</v>
          </cell>
          <cell r="K1120">
            <v>46041</v>
          </cell>
        </row>
        <row r="1121">
          <cell r="B1121" t="str">
            <v>MAC_COIAdicional5G_42</v>
          </cell>
          <cell r="C1121" t="str">
            <v>013252345_LM_PS_HospitalEsteVitarte</v>
          </cell>
          <cell r="D1121" t="str">
            <v>M0840</v>
          </cell>
          <cell r="E1121" t="str">
            <v>COI ADICIONAL 2026</v>
          </cell>
          <cell r="F1121" t="str">
            <v>Sitios Nuevos 3.5</v>
          </cell>
          <cell r="G1121">
            <v>2026</v>
          </cell>
          <cell r="I1121" t="str">
            <v>Roy Bocanegra</v>
          </cell>
          <cell r="J1121" t="str">
            <v>Permisos</v>
          </cell>
          <cell r="K1121">
            <v>46041</v>
          </cell>
        </row>
        <row r="1122">
          <cell r="B1122" t="str">
            <v>MAC_COIAdicional5G_43</v>
          </cell>
          <cell r="C1122" t="str">
            <v>013253376_LM_PS_HospitalHipolitoUnanue</v>
          </cell>
          <cell r="D1122" t="str">
            <v>M0840</v>
          </cell>
          <cell r="E1122" t="str">
            <v>COI ADICIONAL 2026</v>
          </cell>
          <cell r="F1122" t="str">
            <v>Sitios Nuevos 3.5</v>
          </cell>
          <cell r="G1122">
            <v>2026</v>
          </cell>
          <cell r="I1122" t="str">
            <v>Roy Bocanegra</v>
          </cell>
          <cell r="J1122" t="str">
            <v>Permisos</v>
          </cell>
          <cell r="K1122">
            <v>46041</v>
          </cell>
        </row>
        <row r="1123">
          <cell r="B1123" t="str">
            <v>MAC_COIAdicional5G_30</v>
          </cell>
          <cell r="C1123" t="str">
            <v>013250936_LM_PS_HospitalSantaRosa</v>
          </cell>
          <cell r="D1123" t="str">
            <v>M0840</v>
          </cell>
          <cell r="E1123" t="str">
            <v>COI ADICIONAL 2026</v>
          </cell>
          <cell r="F1123" t="str">
            <v>Sitios Nuevos 3.5</v>
          </cell>
          <cell r="G1123">
            <v>2026</v>
          </cell>
          <cell r="I1123" t="str">
            <v>Roy Bocanegra</v>
          </cell>
          <cell r="J1123" t="str">
            <v>Permisos</v>
          </cell>
          <cell r="K1123">
            <v>46041</v>
          </cell>
        </row>
        <row r="1124">
          <cell r="B1124" t="str">
            <v>MAC_COIAdicional5G_41</v>
          </cell>
          <cell r="C1124" t="str">
            <v>013251447_LM_PS_HospitalSergioBernales</v>
          </cell>
          <cell r="D1124" t="str">
            <v>M0840</v>
          </cell>
          <cell r="E1124" t="str">
            <v>COI ADICIONAL 2026</v>
          </cell>
          <cell r="F1124" t="str">
            <v>Sitios Nuevos 3.5</v>
          </cell>
          <cell r="G1124">
            <v>2026</v>
          </cell>
          <cell r="I1124" t="str">
            <v>Roy Bocanegra</v>
          </cell>
          <cell r="J1124" t="str">
            <v>Permisos</v>
          </cell>
          <cell r="K1124">
            <v>46041</v>
          </cell>
        </row>
        <row r="1125">
          <cell r="B1125" t="str">
            <v>MAC_COIAdicional5G_36</v>
          </cell>
          <cell r="C1125" t="str">
            <v>013252500_LM_PS_HospVictorLarcoHerrera</v>
          </cell>
          <cell r="D1125" t="str">
            <v>M0840</v>
          </cell>
          <cell r="E1125" t="str">
            <v>COI ADICIONAL 2026</v>
          </cell>
          <cell r="F1125" t="str">
            <v>Sitios Nuevos 3.5</v>
          </cell>
          <cell r="G1125">
            <v>2026</v>
          </cell>
          <cell r="I1125" t="str">
            <v>Roy Bocanegra</v>
          </cell>
          <cell r="J1125" t="str">
            <v>Permisos</v>
          </cell>
          <cell r="K1125">
            <v>46041</v>
          </cell>
        </row>
        <row r="1126">
          <cell r="B1126" t="str">
            <v>MAC_COIAdicional5G_37</v>
          </cell>
          <cell r="C1126" t="str">
            <v>013252531_LM_PS_HospVictorLarcoHerrera2</v>
          </cell>
          <cell r="D1126" t="str">
            <v>M0840</v>
          </cell>
          <cell r="E1126" t="str">
            <v>COI ADICIONAL 2026</v>
          </cell>
          <cell r="F1126" t="str">
            <v>Sitios Nuevos 3.5</v>
          </cell>
          <cell r="G1126">
            <v>2026</v>
          </cell>
          <cell r="I1126" t="str">
            <v>Roy Bocanegra</v>
          </cell>
          <cell r="J1126" t="str">
            <v>Permisos</v>
          </cell>
          <cell r="K1126">
            <v>46041</v>
          </cell>
        </row>
        <row r="1127">
          <cell r="B1127" t="str">
            <v>MAC_COIAdicional5G_11</v>
          </cell>
          <cell r="C1127" t="str">
            <v>013231107_LI_PS_ColegioCesarVallejo</v>
          </cell>
          <cell r="D1127" t="str">
            <v>M0840</v>
          </cell>
          <cell r="E1127" t="str">
            <v>COI ADICIONAL 2026</v>
          </cell>
          <cell r="F1127" t="str">
            <v>Sitios Nuevos 3.5</v>
          </cell>
          <cell r="G1127">
            <v>2026</v>
          </cell>
          <cell r="I1127" t="str">
            <v>Roy Bocanegra</v>
          </cell>
          <cell r="J1127" t="str">
            <v>Permisos</v>
          </cell>
          <cell r="K1127">
            <v>46041</v>
          </cell>
        </row>
        <row r="1128">
          <cell r="B1128" t="str">
            <v>MAC_COIAdicional5G_50</v>
          </cell>
          <cell r="C1128" t="str">
            <v>013121114_AN_PS_ColegioLaLibertad</v>
          </cell>
          <cell r="D1128" t="str">
            <v>M0840</v>
          </cell>
          <cell r="E1128" t="str">
            <v>COI ADICIONAL 2026</v>
          </cell>
          <cell r="F1128" t="str">
            <v>Sitios Nuevos 3.5</v>
          </cell>
          <cell r="G1128">
            <v>2026</v>
          </cell>
          <cell r="I1128" t="str">
            <v>Roy Bocanegra</v>
          </cell>
          <cell r="J1128" t="str">
            <v>Permisos</v>
          </cell>
          <cell r="K1128">
            <v>46041</v>
          </cell>
        </row>
        <row r="1129">
          <cell r="B1129" t="str">
            <v>MAC_COIAdicional5G_35</v>
          </cell>
          <cell r="C1129" t="str">
            <v>013250956_LM_PS_ComplejoPanCostaVerde</v>
          </cell>
          <cell r="D1129" t="str">
            <v>M0840</v>
          </cell>
          <cell r="E1129" t="str">
            <v>COI ADICIONAL 2026</v>
          </cell>
          <cell r="F1129" t="str">
            <v>Sitios Nuevos 3.5</v>
          </cell>
          <cell r="G1129">
            <v>2026</v>
          </cell>
          <cell r="I1129" t="str">
            <v>Roy Bocanegra</v>
          </cell>
          <cell r="J1129" t="str">
            <v>Permisos</v>
          </cell>
          <cell r="K1129">
            <v>46041</v>
          </cell>
        </row>
        <row r="1130">
          <cell r="B1130" t="str">
            <v>MAC_COIAdicional5G_10</v>
          </cell>
          <cell r="C1130" t="str">
            <v>013231106_LI_PS_ColegioHuamachuco</v>
          </cell>
          <cell r="D1130" t="str">
            <v>M0840</v>
          </cell>
          <cell r="E1130" t="str">
            <v>COI ADICIONAL 2026</v>
          </cell>
          <cell r="F1130" t="str">
            <v>Sitios Nuevos 3.5</v>
          </cell>
          <cell r="G1130">
            <v>2026</v>
          </cell>
          <cell r="I1130" t="str">
            <v>Roy Bocanegra</v>
          </cell>
          <cell r="J1130" t="str">
            <v>Permisos</v>
          </cell>
          <cell r="K1130">
            <v>46041</v>
          </cell>
        </row>
        <row r="1131">
          <cell r="B1131" t="str">
            <v>MAC_COIAdicional5G_15</v>
          </cell>
          <cell r="C1131" t="str">
            <v>013253222_LM_PS_InstitutoHonorioDelgado</v>
          </cell>
          <cell r="D1131" t="str">
            <v>M0840</v>
          </cell>
          <cell r="E1131" t="str">
            <v>COI ADICIONAL 2026</v>
          </cell>
          <cell r="F1131" t="str">
            <v>Sitios Nuevos 3.5</v>
          </cell>
          <cell r="G1131">
            <v>2026</v>
          </cell>
          <cell r="I1131" t="str">
            <v>Roy Bocanegra</v>
          </cell>
          <cell r="J1131" t="str">
            <v>Permisos</v>
          </cell>
          <cell r="K1131">
            <v>46041</v>
          </cell>
        </row>
        <row r="1132">
          <cell r="B1132" t="str">
            <v>MAC_COIAdicional5G_69</v>
          </cell>
          <cell r="C1132" t="str">
            <v>013161135_CA_PS_UniNacionalCajamarca2</v>
          </cell>
          <cell r="D1132" t="str">
            <v>M0840</v>
          </cell>
          <cell r="E1132" t="str">
            <v>COI ADICIONAL 2026</v>
          </cell>
          <cell r="F1132" t="str">
            <v>Sitios Nuevos 3.5</v>
          </cell>
          <cell r="G1132">
            <v>2026</v>
          </cell>
          <cell r="I1132" t="str">
            <v>Roy Bocanegra</v>
          </cell>
          <cell r="J1132" t="str">
            <v>Permisos</v>
          </cell>
          <cell r="K1132">
            <v>46041</v>
          </cell>
        </row>
        <row r="1133">
          <cell r="B1133" t="str">
            <v>MAC_COIAdicional5G_9</v>
          </cell>
          <cell r="C1133" t="str">
            <v>013231148_LI_PS_UniNacionalCiroAlegria</v>
          </cell>
          <cell r="D1133" t="str">
            <v>M0840</v>
          </cell>
          <cell r="E1133" t="str">
            <v>COI ADICIONAL 2026</v>
          </cell>
          <cell r="F1133" t="str">
            <v>Sitios Nuevos 3.5</v>
          </cell>
          <cell r="G1133">
            <v>2026</v>
          </cell>
          <cell r="I1133" t="str">
            <v>Roy Bocanegra</v>
          </cell>
          <cell r="J1133" t="str">
            <v>Permisos</v>
          </cell>
          <cell r="K1133">
            <v>46041</v>
          </cell>
        </row>
        <row r="1134">
          <cell r="B1134" t="str">
            <v>MAC_COIAdicional5G_54</v>
          </cell>
          <cell r="C1134" t="str">
            <v>013221365_JU_PS_HospitalPriale</v>
          </cell>
          <cell r="D1134" t="str">
            <v>M0840</v>
          </cell>
          <cell r="E1134" t="str">
            <v>COI ADICIONAL 2026</v>
          </cell>
          <cell r="F1134" t="str">
            <v>Sitios Nuevos 3.5</v>
          </cell>
          <cell r="G1134">
            <v>2026</v>
          </cell>
          <cell r="I1134" t="str">
            <v>Roy Bocanegra</v>
          </cell>
          <cell r="J1134" t="str">
            <v>Permisos</v>
          </cell>
          <cell r="K1134">
            <v>46041</v>
          </cell>
        </row>
        <row r="1135">
          <cell r="B1135" t="str">
            <v>MAC_COIAdicional5G_55</v>
          </cell>
          <cell r="C1135" t="str">
            <v>013221360_JU_PS_ColegioPilotoSantaIsabel</v>
          </cell>
          <cell r="D1135" t="str">
            <v>M0840</v>
          </cell>
          <cell r="E1135" t="str">
            <v>COI ADICIONAL 2026</v>
          </cell>
          <cell r="F1135" t="str">
            <v>Sitios Nuevos 3.5</v>
          </cell>
          <cell r="G1135">
            <v>2026</v>
          </cell>
          <cell r="I1135" t="str">
            <v>Roy Bocanegra</v>
          </cell>
          <cell r="J1135" t="str">
            <v>Permisos</v>
          </cell>
          <cell r="K1135">
            <v>46041</v>
          </cell>
        </row>
        <row r="1136">
          <cell r="B1136" t="str">
            <v>MAC_COIAdicional5G_8</v>
          </cell>
          <cell r="C1136" t="str">
            <v>013221364_JU_PS_ColegioFranciscoIrazola</v>
          </cell>
          <cell r="D1136" t="str">
            <v>M0840</v>
          </cell>
          <cell r="E1136" t="str">
            <v>COI ADICIONAL 2026</v>
          </cell>
          <cell r="F1136" t="str">
            <v>Sitios Nuevos 3.5</v>
          </cell>
          <cell r="G1136">
            <v>2026</v>
          </cell>
          <cell r="I1136" t="str">
            <v>Roy Bocanegra</v>
          </cell>
          <cell r="J1136" t="str">
            <v>Permisos</v>
          </cell>
          <cell r="K1136">
            <v>46041</v>
          </cell>
        </row>
        <row r="1137">
          <cell r="B1137" t="str">
            <v>MAC_COIAdicional5G_16</v>
          </cell>
          <cell r="C1137" t="str">
            <v>013252839_LM_PS_InstitutoNeoplasicas</v>
          </cell>
          <cell r="D1137" t="str">
            <v>M0840</v>
          </cell>
          <cell r="E1137" t="str">
            <v>COI ADICIONAL 2026</v>
          </cell>
          <cell r="F1137" t="str">
            <v>Sitios Nuevos 3.5</v>
          </cell>
          <cell r="G1137">
            <v>2026</v>
          </cell>
          <cell r="I1137" t="str">
            <v>Roy Bocanegra</v>
          </cell>
          <cell r="J1137" t="str">
            <v>Permisos</v>
          </cell>
          <cell r="K1137">
            <v>46041</v>
          </cell>
        </row>
        <row r="1138">
          <cell r="B1138" t="str">
            <v>MAC_COIAdicional5G_56</v>
          </cell>
          <cell r="C1138" t="str">
            <v>013221362_JU_PS_PolitecRegionalDelCentro</v>
          </cell>
          <cell r="D1138" t="str">
            <v>M0840</v>
          </cell>
          <cell r="E1138" t="str">
            <v>COI ADICIONAL 2026</v>
          </cell>
          <cell r="F1138" t="str">
            <v>Sitios Nuevos 3.5</v>
          </cell>
          <cell r="G1138">
            <v>2026</v>
          </cell>
          <cell r="I1138" t="str">
            <v>Roy Bocanegra</v>
          </cell>
          <cell r="J1138" t="str">
            <v>Permisos</v>
          </cell>
          <cell r="K1138">
            <v>46041</v>
          </cell>
        </row>
        <row r="1139">
          <cell r="B1139" t="str">
            <v>MAC_COIAdicional5G_63</v>
          </cell>
          <cell r="C1139" t="str">
            <v>013221357_JU_PS_ColeRicardoPalmaSoriano</v>
          </cell>
          <cell r="D1139" t="str">
            <v>M0840</v>
          </cell>
          <cell r="E1139" t="str">
            <v>COI ADICIONAL 2026</v>
          </cell>
          <cell r="F1139" t="str">
            <v>Sitios Nuevos 3.5</v>
          </cell>
          <cell r="G1139">
            <v>2026</v>
          </cell>
          <cell r="I1139" t="str">
            <v>Roy Bocanegra</v>
          </cell>
          <cell r="J1139" t="str">
            <v>Permisos</v>
          </cell>
          <cell r="K1139">
            <v>46041</v>
          </cell>
        </row>
        <row r="1140">
          <cell r="B1140" t="str">
            <v>MAC_COIAdicional5G_57</v>
          </cell>
          <cell r="C1140" t="str">
            <v>013221367_JU_PS_UniversidadCentroDelPeru</v>
          </cell>
          <cell r="D1140" t="str">
            <v>M0840</v>
          </cell>
          <cell r="E1140" t="str">
            <v>COI ADICIONAL 2026</v>
          </cell>
          <cell r="F1140" t="str">
            <v>Sitios Nuevos 3.5</v>
          </cell>
          <cell r="G1140">
            <v>2026</v>
          </cell>
          <cell r="I1140" t="str">
            <v>Roy Bocanegra</v>
          </cell>
          <cell r="J1140" t="str">
            <v>Permisos</v>
          </cell>
          <cell r="K1140">
            <v>46041</v>
          </cell>
        </row>
        <row r="1141">
          <cell r="B1141" t="str">
            <v>MAC_COIAdicional5G_51</v>
          </cell>
          <cell r="C1141" t="str">
            <v>013121100_AN_PS_MariscalToribioLuzuriaga</v>
          </cell>
          <cell r="D1141" t="str">
            <v>M0840</v>
          </cell>
          <cell r="E1141" t="str">
            <v>COI ADICIONAL 2026</v>
          </cell>
          <cell r="F1141" t="str">
            <v>Sitios Nuevos 3.5</v>
          </cell>
          <cell r="G1141">
            <v>2026</v>
          </cell>
          <cell r="I1141" t="str">
            <v>Roy Bocanegra</v>
          </cell>
          <cell r="J1141" t="str">
            <v>Permisos</v>
          </cell>
          <cell r="K1141">
            <v>46041</v>
          </cell>
        </row>
        <row r="1142">
          <cell r="B1142" t="str">
            <v>MAC_COIAdicional5G_52</v>
          </cell>
          <cell r="C1142" t="str">
            <v>013121105_AN_PS_SimonBolivarPalacios</v>
          </cell>
          <cell r="D1142" t="str">
            <v>M0840</v>
          </cell>
          <cell r="E1142" t="str">
            <v>COI ADICIONAL 2026</v>
          </cell>
          <cell r="F1142" t="str">
            <v>Sitios Nuevos 3.5</v>
          </cell>
          <cell r="G1142">
            <v>2026</v>
          </cell>
          <cell r="I1142" t="str">
            <v>Roy Bocanegra</v>
          </cell>
          <cell r="J1142" t="str">
            <v>Permisos</v>
          </cell>
          <cell r="K1142">
            <v>46041</v>
          </cell>
        </row>
        <row r="1143">
          <cell r="B1143" t="str">
            <v>MAC_COIAdicional5G_53</v>
          </cell>
          <cell r="C1143" t="str">
            <v>013123109_AN_PS_UniNacionalMayolo</v>
          </cell>
          <cell r="D1143" t="str">
            <v>M0840</v>
          </cell>
          <cell r="E1143" t="str">
            <v>COI ADICIONAL 2026</v>
          </cell>
          <cell r="F1143" t="str">
            <v>Sitios Nuevos 3.5</v>
          </cell>
          <cell r="G1143">
            <v>2026</v>
          </cell>
          <cell r="I1143" t="str">
            <v>Roy Bocanegra</v>
          </cell>
          <cell r="J1143" t="str">
            <v>Permisos</v>
          </cell>
          <cell r="K1143">
            <v>46041</v>
          </cell>
        </row>
        <row r="1144">
          <cell r="B1144" t="str">
            <v>MAC_COIAdicional5G_26</v>
          </cell>
          <cell r="C1144" t="str">
            <v>013252960_LM_PS_InstSaludNinoSanBorja</v>
          </cell>
          <cell r="D1144" t="str">
            <v>M0840</v>
          </cell>
          <cell r="E1144" t="str">
            <v>COI ADICIONAL 2026</v>
          </cell>
          <cell r="F1144" t="str">
            <v>Sitios Nuevos 3.5</v>
          </cell>
          <cell r="G1144">
            <v>2026</v>
          </cell>
          <cell r="I1144" t="str">
            <v>Roy Bocanegra</v>
          </cell>
          <cell r="J1144" t="str">
            <v>Permisos</v>
          </cell>
          <cell r="K1144">
            <v>46041</v>
          </cell>
        </row>
        <row r="1145">
          <cell r="B1145" t="str">
            <v>MAC_COIAdicional5G_64</v>
          </cell>
          <cell r="C1145" t="str">
            <v>013253074_LM_PS_UniNacionalCanete</v>
          </cell>
          <cell r="D1145" t="str">
            <v>M0840</v>
          </cell>
          <cell r="E1145" t="str">
            <v>COI ADICIONAL 2026</v>
          </cell>
          <cell r="F1145" t="str">
            <v>Sitios Nuevos 3.5</v>
          </cell>
          <cell r="G1145">
            <v>2026</v>
          </cell>
          <cell r="I1145" t="str">
            <v>Roy Bocanegra</v>
          </cell>
          <cell r="J1145" t="str">
            <v>Permisos</v>
          </cell>
          <cell r="K1145">
            <v>46041</v>
          </cell>
        </row>
        <row r="1146">
          <cell r="B1146" t="str">
            <v>MAC_COIAdicional5G_34</v>
          </cell>
          <cell r="C1146" t="str">
            <v>013253025_LM_PS_UniversidadTecLimaSur</v>
          </cell>
          <cell r="D1146" t="str">
            <v>M0840</v>
          </cell>
          <cell r="E1146" t="str">
            <v>COI ADICIONAL 2026</v>
          </cell>
          <cell r="F1146" t="str">
            <v>Sitios Nuevos 3.5</v>
          </cell>
          <cell r="G1146">
            <v>2026</v>
          </cell>
          <cell r="I1146" t="str">
            <v>Roy Bocanegra</v>
          </cell>
          <cell r="J1146" t="str">
            <v>Permisos</v>
          </cell>
          <cell r="K1146">
            <v>46041</v>
          </cell>
        </row>
        <row r="1147">
          <cell r="B1147" t="str">
            <v>MAC_COIAdicional5G_29</v>
          </cell>
          <cell r="C1147" t="str">
            <v>013250938_LM_PS_ComplejoAvelinoCaceres</v>
          </cell>
          <cell r="D1147" t="str">
            <v>M0840</v>
          </cell>
          <cell r="E1147" t="str">
            <v>COI ADICIONAL 2026</v>
          </cell>
          <cell r="F1147" t="str">
            <v>Sitios Nuevos 3.5</v>
          </cell>
          <cell r="G1147">
            <v>2026</v>
          </cell>
          <cell r="I1147" t="str">
            <v>Roy Bocanegra</v>
          </cell>
          <cell r="J1147" t="str">
            <v>Permisos</v>
          </cell>
          <cell r="K1147">
            <v>46041</v>
          </cell>
        </row>
        <row r="1148">
          <cell r="B1148" t="str">
            <v>MAC_COIAdicional5G_32</v>
          </cell>
          <cell r="C1148" t="str">
            <v>013253675_LM_PS_VillaDeportivaNacional</v>
          </cell>
          <cell r="D1148" t="str">
            <v>M0840</v>
          </cell>
          <cell r="E1148" t="str">
            <v>COI ADICIONAL 2026</v>
          </cell>
          <cell r="F1148" t="str">
            <v>Sitios Nuevos 3.5</v>
          </cell>
          <cell r="G1148">
            <v>2026</v>
          </cell>
          <cell r="I1148" t="str">
            <v>Roy Bocanegra</v>
          </cell>
          <cell r="J1148" t="str">
            <v>Permisos</v>
          </cell>
          <cell r="K1148">
            <v>46041</v>
          </cell>
        </row>
        <row r="1149">
          <cell r="B1149" t="str">
            <v>MAC_COIAdicional5G_28</v>
          </cell>
          <cell r="C1149" t="str">
            <v>013253159_LM_PS_ComplejoAvelinoCaceres2</v>
          </cell>
          <cell r="D1149" t="str">
            <v>M0840</v>
          </cell>
          <cell r="E1149" t="str">
            <v>COI ADICIONAL 2026</v>
          </cell>
          <cell r="F1149" t="str">
            <v>Sitios Nuevos 3.5</v>
          </cell>
          <cell r="G1149">
            <v>2026</v>
          </cell>
          <cell r="I1149" t="str">
            <v>Roy Bocanegra</v>
          </cell>
          <cell r="J1149" t="str">
            <v>Permisos</v>
          </cell>
          <cell r="K1149">
            <v>46041</v>
          </cell>
        </row>
        <row r="1150">
          <cell r="B1150" t="str">
            <v>MAC_COIAdicional5G_67</v>
          </cell>
          <cell r="C1150" t="str">
            <v>013250930_LM_PS_HospitalDanielCarrion</v>
          </cell>
          <cell r="D1150" t="str">
            <v>M0840</v>
          </cell>
          <cell r="E1150" t="str">
            <v>COI ADICIONAL 2026</v>
          </cell>
          <cell r="F1150" t="str">
            <v>Sitios Nuevos 3.5</v>
          </cell>
          <cell r="G1150">
            <v>2026</v>
          </cell>
          <cell r="I1150" t="str">
            <v>Roy Bocanegra</v>
          </cell>
          <cell r="J1150" t="str">
            <v>Permisos</v>
          </cell>
          <cell r="K1150">
            <v>46041</v>
          </cell>
        </row>
        <row r="1151">
          <cell r="B1151" t="str">
            <v>MAC_COIAdicional5G_68</v>
          </cell>
          <cell r="C1151" t="str">
            <v>013253221_LM_PS_HospitalSabogal</v>
          </cell>
          <cell r="D1151" t="str">
            <v>M0840</v>
          </cell>
          <cell r="E1151" t="str">
            <v>COI ADICIONAL 2026</v>
          </cell>
          <cell r="F1151" t="str">
            <v>Sitios Nuevos 3.5</v>
          </cell>
          <cell r="G1151">
            <v>2026</v>
          </cell>
          <cell r="I1151" t="str">
            <v>Roy Bocanegra</v>
          </cell>
          <cell r="J1151" t="str">
            <v>Permisos</v>
          </cell>
          <cell r="K1151">
            <v>46041</v>
          </cell>
        </row>
        <row r="1152">
          <cell r="B1152" t="str">
            <v>MAC_COIAdicional5G_22</v>
          </cell>
          <cell r="C1152" t="str">
            <v>013253679_LM_PS_EstadioNacionalPerú</v>
          </cell>
          <cell r="D1152" t="str">
            <v>M0840</v>
          </cell>
          <cell r="E1152" t="str">
            <v>COI ADICIONAL 2026</v>
          </cell>
          <cell r="F1152" t="str">
            <v>Sitios Nuevos 3.5</v>
          </cell>
          <cell r="G1152">
            <v>2026</v>
          </cell>
          <cell r="I1152" t="str">
            <v>Roy Bocanegra</v>
          </cell>
          <cell r="J1152" t="str">
            <v>Permisos</v>
          </cell>
          <cell r="K1152">
            <v>46041</v>
          </cell>
        </row>
        <row r="1153">
          <cell r="B1153" t="str">
            <v>MAC_COIAdicional5G_23</v>
          </cell>
          <cell r="C1153" t="str">
            <v>013253940_LM_PS_EstadioNacionalPerú2</v>
          </cell>
          <cell r="D1153" t="str">
            <v>M0840</v>
          </cell>
          <cell r="E1153" t="str">
            <v>COI ADICIONAL 2026</v>
          </cell>
          <cell r="F1153" t="str">
            <v>Sitios Nuevos 3.5</v>
          </cell>
          <cell r="G1153">
            <v>2026</v>
          </cell>
          <cell r="I1153" t="str">
            <v>Roy Bocanegra</v>
          </cell>
          <cell r="J1153" t="str">
            <v>Permisos</v>
          </cell>
          <cell r="K1153">
            <v>46041</v>
          </cell>
        </row>
        <row r="1154">
          <cell r="B1154" t="str">
            <v>MAC_COIAdicional5G_48</v>
          </cell>
          <cell r="C1154" t="str">
            <v>013252820_LM_PS_UniSanchezCarrion</v>
          </cell>
          <cell r="D1154" t="str">
            <v>M0840</v>
          </cell>
          <cell r="E1154" t="str">
            <v>COI ADICIONAL 2026</v>
          </cell>
          <cell r="F1154" t="str">
            <v>Sitios Nuevos 3.5</v>
          </cell>
          <cell r="G1154">
            <v>2026</v>
          </cell>
          <cell r="I1154" t="str">
            <v>Roy Bocanegra</v>
          </cell>
          <cell r="J1154" t="str">
            <v>Permisos</v>
          </cell>
          <cell r="K1154">
            <v>46041</v>
          </cell>
        </row>
        <row r="1155">
          <cell r="B1155" t="str">
            <v>MAC_COIAdicional5G_49</v>
          </cell>
          <cell r="C1155" t="str">
            <v>013251157_LM_PS_UniSanchezCarrion2</v>
          </cell>
          <cell r="D1155" t="str">
            <v>M0840</v>
          </cell>
          <cell r="E1155" t="str">
            <v>COI ADICIONAL 2026</v>
          </cell>
          <cell r="F1155" t="str">
            <v>Sitios Nuevos 3.5</v>
          </cell>
          <cell r="G1155">
            <v>2026</v>
          </cell>
          <cell r="I1155" t="str">
            <v>Roy Bocanegra</v>
          </cell>
          <cell r="J1155" t="str">
            <v>Permisos</v>
          </cell>
          <cell r="K1155">
            <v>46041</v>
          </cell>
        </row>
        <row r="1156">
          <cell r="B1156" t="str">
            <v>MAC_COIAdicional5G_70</v>
          </cell>
          <cell r="C1156" t="str">
            <v>013161132_CA_PS_UniNacionalCajamarca</v>
          </cell>
          <cell r="D1156" t="str">
            <v>M0840</v>
          </cell>
          <cell r="E1156" t="str">
            <v>COI ADICIONAL 2026</v>
          </cell>
          <cell r="F1156" t="str">
            <v>Sitios Nuevos 3.5</v>
          </cell>
          <cell r="G1156">
            <v>2026</v>
          </cell>
          <cell r="I1156" t="str">
            <v>Roy Bocanegra</v>
          </cell>
          <cell r="J1156" t="str">
            <v>Permisos</v>
          </cell>
          <cell r="K1156">
            <v>46041</v>
          </cell>
        </row>
        <row r="1157">
          <cell r="B1157" t="str">
            <v>MAC_COIAdicional5G_7</v>
          </cell>
          <cell r="C1157" t="str">
            <v>013231128_LI_PS_VictorLazarteEchegaray</v>
          </cell>
          <cell r="D1157" t="str">
            <v>M0840</v>
          </cell>
          <cell r="E1157" t="str">
            <v>COI ADICIONAL 2026</v>
          </cell>
          <cell r="F1157" t="str">
            <v>Sitios Nuevos 3.5</v>
          </cell>
          <cell r="G1157">
            <v>2026</v>
          </cell>
          <cell r="I1157" t="str">
            <v>Roy Bocanegra</v>
          </cell>
          <cell r="J1157" t="str">
            <v>Permisos</v>
          </cell>
          <cell r="K1157">
            <v>46041</v>
          </cell>
        </row>
        <row r="1158">
          <cell r="B1158" t="str">
            <v>MAC_COIAdicional5G_6</v>
          </cell>
          <cell r="C1158" t="str">
            <v>013231115_LI_PS_HospitalBelenDeTrujillo</v>
          </cell>
          <cell r="D1158" t="str">
            <v>M0840</v>
          </cell>
          <cell r="E1158" t="str">
            <v>COI ADICIONAL 2026</v>
          </cell>
          <cell r="F1158" t="str">
            <v>Sitios Nuevos 3.5</v>
          </cell>
          <cell r="G1158">
            <v>2026</v>
          </cell>
          <cell r="I1158" t="str">
            <v>Roy Bocanegra</v>
          </cell>
          <cell r="J1158" t="str">
            <v>Permisos</v>
          </cell>
          <cell r="K1158">
            <v>46041</v>
          </cell>
        </row>
        <row r="1159">
          <cell r="B1159" t="str">
            <v>MAC_COIAdicional5G_45</v>
          </cell>
          <cell r="C1159" t="str">
            <v>013253157_LM_PS_AltoRendimientoSurf</v>
          </cell>
          <cell r="D1159" t="str">
            <v>M0840</v>
          </cell>
          <cell r="E1159" t="str">
            <v>COI ADICIONAL 2026</v>
          </cell>
          <cell r="F1159" t="str">
            <v>Sitios Nuevos 3.5</v>
          </cell>
          <cell r="G1159">
            <v>2026</v>
          </cell>
          <cell r="I1159" t="str">
            <v>Roy Bocanegra</v>
          </cell>
          <cell r="J1159" t="str">
            <v>Permisos</v>
          </cell>
          <cell r="K1159">
            <v>46041</v>
          </cell>
        </row>
        <row r="1160">
          <cell r="B1160" t="str">
            <v>MAC_COIAdicional5G_47</v>
          </cell>
          <cell r="C1160" t="str">
            <v>VidenaCanada*</v>
          </cell>
          <cell r="D1160" t="str">
            <v>M0840</v>
          </cell>
          <cell r="E1160" t="str">
            <v>COI ADICIONAL 2026</v>
          </cell>
          <cell r="F1160" t="str">
            <v>Sitios Nuevos 3.5</v>
          </cell>
          <cell r="G1160">
            <v>2026</v>
          </cell>
          <cell r="I1160" t="str">
            <v>Roy Bocanegra</v>
          </cell>
          <cell r="J1160" t="str">
            <v>Permisos</v>
          </cell>
          <cell r="K1160">
            <v>46041</v>
          </cell>
        </row>
        <row r="1161">
          <cell r="B1161" t="str">
            <v>MAC_COIAdicional5G_44</v>
          </cell>
          <cell r="C1161" t="str">
            <v>013253220_LM_PS_HospitalDosDeMayo</v>
          </cell>
          <cell r="D1161" t="str">
            <v>M0840</v>
          </cell>
          <cell r="E1161" t="str">
            <v>COI ADICIONAL 2026</v>
          </cell>
          <cell r="F1161" t="str">
            <v>Sitios Nuevos 3.5</v>
          </cell>
          <cell r="G1161">
            <v>2026</v>
          </cell>
          <cell r="I1161" t="str">
            <v>Roy Bocanegra</v>
          </cell>
          <cell r="J1161" t="str">
            <v>Permisos</v>
          </cell>
          <cell r="K1161">
            <v>46041</v>
          </cell>
        </row>
        <row r="1162">
          <cell r="B1162" t="str">
            <v>MAC_COIAdicional5G_25</v>
          </cell>
          <cell r="C1162" t="str">
            <v>013251457_LM_PS_InstitutoNacionalPerinatal</v>
          </cell>
          <cell r="D1162" t="str">
            <v>M0840</v>
          </cell>
          <cell r="E1162" t="str">
            <v>COI ADICIONAL 2026</v>
          </cell>
          <cell r="F1162" t="str">
            <v>Sitios Nuevos 3.5</v>
          </cell>
          <cell r="G1162">
            <v>2026</v>
          </cell>
          <cell r="I1162" t="str">
            <v>Roy Bocanegra</v>
          </cell>
          <cell r="J1162" t="str">
            <v>Permisos</v>
          </cell>
          <cell r="K1162">
            <v>46041</v>
          </cell>
        </row>
        <row r="1163">
          <cell r="B1163" t="str">
            <v>MAC_COIAdicional5G_24</v>
          </cell>
          <cell r="C1163" t="str">
            <v>013252535_LM_PS_HospitalSanBartolome</v>
          </cell>
          <cell r="D1163" t="str">
            <v>M0840</v>
          </cell>
          <cell r="E1163" t="str">
            <v>COI ADICIONAL 2026</v>
          </cell>
          <cell r="F1163" t="str">
            <v>Sitios Nuevos 3.5</v>
          </cell>
          <cell r="G1163">
            <v>2026</v>
          </cell>
          <cell r="I1163" t="str">
            <v>Roy Bocanegra</v>
          </cell>
          <cell r="J1163" t="str">
            <v>Permisos</v>
          </cell>
          <cell r="K1163">
            <v>46041</v>
          </cell>
        </row>
        <row r="1164">
          <cell r="B1164" t="str">
            <v>EXP_Limpieza3.5_181</v>
          </cell>
          <cell r="C1164" t="str">
            <v>0134553_LM_Las_Palmas_Asia</v>
          </cell>
          <cell r="D1164" t="str">
            <v>M0824</v>
          </cell>
          <cell r="E1164" t="str">
            <v>LIMPIEZA + ACTIVACION 3.5 2025</v>
          </cell>
          <cell r="F1164" t="str">
            <v>Expansiones 3.5</v>
          </cell>
          <cell r="G1164">
            <v>2025</v>
          </cell>
          <cell r="I1164" t="str">
            <v>Nicole Aquino</v>
          </cell>
          <cell r="J1164" t="str">
            <v>Activado</v>
          </cell>
          <cell r="K1164">
            <v>46045</v>
          </cell>
        </row>
        <row r="1165">
          <cell r="B1165" t="str">
            <v>EXP_Limpieza3.5_182</v>
          </cell>
          <cell r="C1165" t="str">
            <v>0136337_LM_Plaza_Matriz</v>
          </cell>
          <cell r="D1165" t="str">
            <v>M0824</v>
          </cell>
          <cell r="E1165" t="str">
            <v>LIMPIEZA + ACTIVACION 3.5 2025</v>
          </cell>
          <cell r="F1165" t="str">
            <v>Expansiones 3.5</v>
          </cell>
          <cell r="G1165">
            <v>2025</v>
          </cell>
          <cell r="I1165" t="str">
            <v>Nicole Aquino</v>
          </cell>
          <cell r="J1165" t="str">
            <v>Activado</v>
          </cell>
          <cell r="K1165">
            <v>46045</v>
          </cell>
        </row>
        <row r="1166">
          <cell r="B1166" t="str">
            <v>L3.5_52</v>
          </cell>
          <cell r="C1166" t="str">
            <v>AQ_BUGANVILLAS</v>
          </cell>
          <cell r="D1166" t="str">
            <v>M0824</v>
          </cell>
          <cell r="E1166" t="str">
            <v>LIMPIEZA + ACTIVACION 3.5 2025</v>
          </cell>
          <cell r="F1166" t="str">
            <v>Expansiones 3.5</v>
          </cell>
          <cell r="G1166">
            <v>2025</v>
          </cell>
          <cell r="I1166" t="str">
            <v>Nicole Aquino</v>
          </cell>
          <cell r="J1166" t="str">
            <v>Activado</v>
          </cell>
          <cell r="K1166">
            <v>46055</v>
          </cell>
        </row>
        <row r="1167">
          <cell r="B1167" t="str">
            <v>L3.5_54</v>
          </cell>
          <cell r="C1167" t="str">
            <v>AQ_MARTINETTI</v>
          </cell>
          <cell r="D1167" t="str">
            <v>M0824</v>
          </cell>
          <cell r="E1167" t="str">
            <v>LIMPIEZA + ACTIVACION 3.5 2025</v>
          </cell>
          <cell r="F1167" t="str">
            <v>Expansiones 3.5</v>
          </cell>
          <cell r="G1167">
            <v>2025</v>
          </cell>
          <cell r="I1167" t="str">
            <v>Nicole Aquino</v>
          </cell>
          <cell r="J1167" t="str">
            <v>Activado</v>
          </cell>
          <cell r="K1167">
            <v>46055</v>
          </cell>
        </row>
        <row r="1168">
          <cell r="B1168" t="str">
            <v>TX_CRA2026_356</v>
          </cell>
          <cell r="C1168" t="str">
            <v>0100398_LM_Canete to 0100468_LM_Imperial</v>
          </cell>
          <cell r="D1168" t="str">
            <v>M0850</v>
          </cell>
          <cell r="E1168" t="str">
            <v>CRA MOVIL 2026</v>
          </cell>
          <cell r="F1168" t="str">
            <v>Vulnerabilidad</v>
          </cell>
          <cell r="G1168">
            <v>2026</v>
          </cell>
          <cell r="H1168" t="str">
            <v>Q2</v>
          </cell>
          <cell r="I1168" t="str">
            <v>Nathaly Allcca</v>
          </cell>
          <cell r="J1168" t="str">
            <v>No RFI</v>
          </cell>
          <cell r="K1168">
            <v>46056</v>
          </cell>
        </row>
        <row r="1169">
          <cell r="B1169" t="str">
            <v>TX_CRA2026_357</v>
          </cell>
          <cell r="C1169" t="str">
            <v>0105151_LM_Galpones to 0100555_LM_Entrada_Cieneguilla</v>
          </cell>
          <cell r="D1169" t="str">
            <v>M0850</v>
          </cell>
          <cell r="E1169" t="str">
            <v>CRA MOVIL 2026</v>
          </cell>
          <cell r="F1169" t="str">
            <v>Vulnerabilidad</v>
          </cell>
          <cell r="G1169">
            <v>2026</v>
          </cell>
          <cell r="H1169" t="str">
            <v>Q2</v>
          </cell>
          <cell r="I1169" t="str">
            <v>Nathaly Allcca</v>
          </cell>
          <cell r="J1169" t="str">
            <v>No RFI</v>
          </cell>
          <cell r="K1169">
            <v>46056</v>
          </cell>
        </row>
        <row r="1170">
          <cell r="B1170" t="str">
            <v>TX_CRA2026_358</v>
          </cell>
          <cell r="C1170" t="str">
            <v>0100020_LM_Agatas to 0102872_LM_Beltran_R2</v>
          </cell>
          <cell r="D1170" t="str">
            <v>M0850</v>
          </cell>
          <cell r="E1170" t="str">
            <v>CRA MOVIL 2026</v>
          </cell>
          <cell r="F1170" t="str">
            <v>Vulnerabilidad</v>
          </cell>
          <cell r="G1170">
            <v>2026</v>
          </cell>
          <cell r="H1170" t="str">
            <v>Q2</v>
          </cell>
          <cell r="I1170" t="str">
            <v>Nathaly Allcca</v>
          </cell>
          <cell r="J1170" t="str">
            <v>No RFI</v>
          </cell>
          <cell r="K1170">
            <v>46056</v>
          </cell>
        </row>
        <row r="1171">
          <cell r="B1171" t="str">
            <v>TX_CRA2026_359</v>
          </cell>
          <cell r="C1171" t="str">
            <v>0101005_LA_Chinchaysuyo to 0101025_LA_LaVictoria_Chiclayo</v>
          </cell>
          <cell r="D1171" t="str">
            <v>M0850</v>
          </cell>
          <cell r="E1171" t="str">
            <v>CRA MOVIL 2026</v>
          </cell>
          <cell r="F1171" t="str">
            <v>Vulnerabilidad</v>
          </cell>
          <cell r="G1171">
            <v>2026</v>
          </cell>
          <cell r="H1171" t="str">
            <v>Q2</v>
          </cell>
          <cell r="I1171" t="str">
            <v>Nathaly Allcca</v>
          </cell>
          <cell r="J1171" t="str">
            <v>No RFI</v>
          </cell>
          <cell r="K1171">
            <v>46056</v>
          </cell>
        </row>
        <row r="1172">
          <cell r="B1172" t="str">
            <v>TX_CRA2026_360</v>
          </cell>
          <cell r="C1172" t="str">
            <v>0101005_LA_Chinchaysuyo to 0101081_LA_Cuglievan</v>
          </cell>
          <cell r="D1172" t="str">
            <v>M0850</v>
          </cell>
          <cell r="E1172" t="str">
            <v>CRA MOVIL 2026</v>
          </cell>
          <cell r="F1172" t="str">
            <v>Vulnerabilidad</v>
          </cell>
          <cell r="G1172">
            <v>2026</v>
          </cell>
          <cell r="H1172" t="str">
            <v>Q2</v>
          </cell>
          <cell r="I1172" t="str">
            <v>Nathaly Allcca</v>
          </cell>
          <cell r="J1172" t="str">
            <v>No RFI</v>
          </cell>
          <cell r="K1172">
            <v>46056</v>
          </cell>
        </row>
        <row r="1173">
          <cell r="B1173" t="str">
            <v>TX_CRA2026_361</v>
          </cell>
          <cell r="C1173" t="str">
            <v>0101935_LO_Punchana_Iquitos to 0101985_LO_Cahuide_Nauta</v>
          </cell>
          <cell r="D1173" t="str">
            <v>M0850</v>
          </cell>
          <cell r="E1173" t="str">
            <v>CRA MOVIL 2026</v>
          </cell>
          <cell r="F1173" t="str">
            <v>Vulnerabilidad</v>
          </cell>
          <cell r="G1173">
            <v>2026</v>
          </cell>
          <cell r="H1173" t="str">
            <v>Q2</v>
          </cell>
          <cell r="I1173" t="str">
            <v>Nathaly Allcca</v>
          </cell>
          <cell r="J1173" t="str">
            <v>No RFI</v>
          </cell>
          <cell r="K1173">
            <v>46056</v>
          </cell>
        </row>
        <row r="1174">
          <cell r="B1174" t="str">
            <v>TX_CRA2026_362</v>
          </cell>
          <cell r="C1174" t="str">
            <v>0101935_LO_Punchana_Iquitos to 0101987_LO_Putumayo</v>
          </cell>
          <cell r="D1174" t="str">
            <v>M0850</v>
          </cell>
          <cell r="E1174" t="str">
            <v>CRA MOVIL 2026</v>
          </cell>
          <cell r="F1174" t="str">
            <v>Vulnerabilidad</v>
          </cell>
          <cell r="G1174">
            <v>2026</v>
          </cell>
          <cell r="H1174" t="str">
            <v>Q2</v>
          </cell>
          <cell r="I1174" t="str">
            <v>Nathaly Allcca</v>
          </cell>
          <cell r="J1174" t="str">
            <v>No RFI</v>
          </cell>
          <cell r="K1174">
            <v>46056</v>
          </cell>
        </row>
        <row r="1175">
          <cell r="B1175" t="str">
            <v>TX_CRA2026_363</v>
          </cell>
          <cell r="C1175" t="str">
            <v>0101009_LA_Picsi to 010241627_LA_Tres_Marias</v>
          </cell>
          <cell r="D1175" t="str">
            <v>M0850</v>
          </cell>
          <cell r="E1175" t="str">
            <v>CRA MOVIL 2026</v>
          </cell>
          <cell r="F1175" t="str">
            <v>Vulnerabilidad</v>
          </cell>
          <cell r="G1175">
            <v>2026</v>
          </cell>
          <cell r="H1175" t="str">
            <v>Q2</v>
          </cell>
          <cell r="I1175" t="str">
            <v>Nathaly Allcca</v>
          </cell>
          <cell r="J1175" t="str">
            <v>No RFI</v>
          </cell>
          <cell r="K1175">
            <v>46056</v>
          </cell>
        </row>
        <row r="1176">
          <cell r="B1176" t="str">
            <v>TX_CRA2026_364</v>
          </cell>
          <cell r="C1176" t="str">
            <v>0101009_LA_Picsi to 0102464_LA_Plaza_Ferrenafe</v>
          </cell>
          <cell r="D1176" t="str">
            <v>M0850</v>
          </cell>
          <cell r="E1176" t="str">
            <v>CRA MOVIL 2026</v>
          </cell>
          <cell r="F1176" t="str">
            <v>Vulnerabilidad</v>
          </cell>
          <cell r="G1176">
            <v>2026</v>
          </cell>
          <cell r="H1176" t="str">
            <v>Q2</v>
          </cell>
          <cell r="I1176" t="str">
            <v>Nathaly Allcca</v>
          </cell>
          <cell r="J1176" t="str">
            <v>No RFI</v>
          </cell>
          <cell r="K1176">
            <v>46056</v>
          </cell>
        </row>
        <row r="1177">
          <cell r="B1177" t="str">
            <v>TX_CRA2026_365</v>
          </cell>
          <cell r="C1177" t="str">
            <v>0100610_LI_El_Porvenir to 0104704_LI_Barrio_10</v>
          </cell>
          <cell r="D1177" t="str">
            <v>M0850</v>
          </cell>
          <cell r="E1177" t="str">
            <v>CRA MOVIL 2026</v>
          </cell>
          <cell r="F1177" t="str">
            <v>Vulnerabilidad</v>
          </cell>
          <cell r="G1177">
            <v>2026</v>
          </cell>
          <cell r="H1177" t="str">
            <v>Q2</v>
          </cell>
          <cell r="I1177" t="str">
            <v>Nathaly Allcca</v>
          </cell>
          <cell r="J1177" t="str">
            <v>No RFI</v>
          </cell>
          <cell r="K1177">
            <v>46056</v>
          </cell>
        </row>
        <row r="1178">
          <cell r="B1178" t="str">
            <v>TX_CRA2026_366</v>
          </cell>
          <cell r="C1178" t="str">
            <v>0101335_CS_Av_Libertad to 0101334_CS_Manahuanunca</v>
          </cell>
          <cell r="D1178" t="str">
            <v>M0850</v>
          </cell>
          <cell r="E1178" t="str">
            <v>CRA MOVIL 2026</v>
          </cell>
          <cell r="F1178" t="str">
            <v>Vulnerabilidad</v>
          </cell>
          <cell r="G1178">
            <v>2026</v>
          </cell>
          <cell r="H1178" t="str">
            <v>Q2</v>
          </cell>
          <cell r="I1178" t="str">
            <v>Nathaly Allcca</v>
          </cell>
          <cell r="J1178" t="str">
            <v>No RFI</v>
          </cell>
          <cell r="K1178">
            <v>46056</v>
          </cell>
        </row>
        <row r="1179">
          <cell r="B1179" t="str">
            <v>TX_CRA2026_367</v>
          </cell>
          <cell r="C1179" t="str">
            <v>0101314_CS_Sol_de_Oro to 010182966_CS_Pumamarca</v>
          </cell>
          <cell r="D1179" t="str">
            <v>M0850</v>
          </cell>
          <cell r="E1179" t="str">
            <v>CRA MOVIL 2026</v>
          </cell>
          <cell r="F1179" t="str">
            <v>Vulnerabilidad</v>
          </cell>
          <cell r="G1179">
            <v>2026</v>
          </cell>
          <cell r="H1179" t="str">
            <v>Q2</v>
          </cell>
          <cell r="I1179" t="str">
            <v>Nathaly Allcca</v>
          </cell>
          <cell r="J1179" t="str">
            <v>No RFI</v>
          </cell>
          <cell r="K1179">
            <v>46056</v>
          </cell>
        </row>
        <row r="1180">
          <cell r="B1180" t="str">
            <v>TX_CRA2026_368</v>
          </cell>
          <cell r="C1180" t="str">
            <v>0101301_CS_Wanchaq to 0104937_CS_IB_RP_Cusco</v>
          </cell>
          <cell r="D1180" t="str">
            <v>M0850</v>
          </cell>
          <cell r="E1180" t="str">
            <v>CRA MOVIL 2026</v>
          </cell>
          <cell r="F1180" t="str">
            <v>Vulnerabilidad</v>
          </cell>
          <cell r="G1180">
            <v>2026</v>
          </cell>
          <cell r="H1180" t="str">
            <v>Q2</v>
          </cell>
          <cell r="I1180" t="str">
            <v>Nathaly Allcca</v>
          </cell>
          <cell r="J1180" t="str">
            <v>No RFI</v>
          </cell>
          <cell r="K1180">
            <v>46056</v>
          </cell>
        </row>
        <row r="1181">
          <cell r="B1181" t="str">
            <v>TX_CRA2026_369</v>
          </cell>
          <cell r="C1181" t="str">
            <v>0103868_AQ_Belen_Aqp to 0100966_AQ_Pierola_Aqp</v>
          </cell>
          <cell r="D1181" t="str">
            <v>M0850</v>
          </cell>
          <cell r="E1181" t="str">
            <v>CRA MOVIL 2026</v>
          </cell>
          <cell r="F1181" t="str">
            <v>Vulnerabilidad</v>
          </cell>
          <cell r="G1181">
            <v>2026</v>
          </cell>
          <cell r="H1181" t="str">
            <v>Q2</v>
          </cell>
          <cell r="I1181" t="str">
            <v>Nathaly Allcca</v>
          </cell>
          <cell r="J1181" t="str">
            <v>No RFI</v>
          </cell>
          <cell r="K1181">
            <v>46056</v>
          </cell>
        </row>
        <row r="1182">
          <cell r="B1182" t="str">
            <v>TX_CRA2026_370</v>
          </cell>
          <cell r="C1182" t="str">
            <v>0101489_PN_Triunfo_Juliaca to 0101492_PN_Republica_Juliaca</v>
          </cell>
          <cell r="D1182" t="str">
            <v>M0850</v>
          </cell>
          <cell r="E1182" t="str">
            <v>CRA MOVIL 2026</v>
          </cell>
          <cell r="F1182" t="str">
            <v>Vulnerabilidad</v>
          </cell>
          <cell r="G1182">
            <v>2026</v>
          </cell>
          <cell r="H1182" t="str">
            <v>Q2</v>
          </cell>
          <cell r="I1182" t="str">
            <v>Nathaly Allcca</v>
          </cell>
          <cell r="J1182" t="str">
            <v>No RFI</v>
          </cell>
          <cell r="K1182">
            <v>46056</v>
          </cell>
        </row>
        <row r="1183">
          <cell r="B1183" t="str">
            <v>TX_CRA2026_371</v>
          </cell>
          <cell r="C1183" t="str">
            <v>0100815_IC_Chincha to 0102208_IC_Santa_Ana_Chincha</v>
          </cell>
          <cell r="D1183" t="str">
            <v>M0850</v>
          </cell>
          <cell r="E1183" t="str">
            <v>CRA MOVIL 2026</v>
          </cell>
          <cell r="F1183" t="str">
            <v>Vulnerabilidad</v>
          </cell>
          <cell r="G1183">
            <v>2026</v>
          </cell>
          <cell r="H1183" t="str">
            <v>Q2</v>
          </cell>
          <cell r="I1183" t="str">
            <v>Nathaly Allcca</v>
          </cell>
          <cell r="J1183" t="str">
            <v>No RFI</v>
          </cell>
          <cell r="K1183">
            <v>46056</v>
          </cell>
        </row>
        <row r="1184">
          <cell r="B1184" t="str">
            <v>TX_CRA2026_372</v>
          </cell>
          <cell r="C1184" t="str">
            <v>0100053_LM_Las_Artes to 0100290_LM_Tiziano</v>
          </cell>
          <cell r="D1184" t="str">
            <v>M0850</v>
          </cell>
          <cell r="E1184" t="str">
            <v>CRA MOVIL 2026</v>
          </cell>
          <cell r="F1184" t="str">
            <v>Vulnerabilidad</v>
          </cell>
          <cell r="G1184">
            <v>2026</v>
          </cell>
          <cell r="H1184" t="str">
            <v>Q2</v>
          </cell>
          <cell r="I1184" t="str">
            <v>Nathaly Allcca</v>
          </cell>
          <cell r="J1184" t="str">
            <v>No RFI</v>
          </cell>
          <cell r="K1184">
            <v>46056</v>
          </cell>
        </row>
        <row r="1185">
          <cell r="B1185" t="str">
            <v>TX_CRA2026_373</v>
          </cell>
          <cell r="C1185" t="str">
            <v>0100023_LM_Melgarejo to 0100338_LM_La_Planicie</v>
          </cell>
          <cell r="D1185" t="str">
            <v>M0850</v>
          </cell>
          <cell r="E1185" t="str">
            <v>CRA MOVIL 2026</v>
          </cell>
          <cell r="F1185" t="str">
            <v>Vulnerabilidad</v>
          </cell>
          <cell r="G1185">
            <v>2026</v>
          </cell>
          <cell r="H1185" t="str">
            <v>Q2</v>
          </cell>
          <cell r="I1185" t="str">
            <v>Nathaly Allcca</v>
          </cell>
          <cell r="J1185" t="str">
            <v>No RFI</v>
          </cell>
          <cell r="K1185">
            <v>46056</v>
          </cell>
        </row>
        <row r="1186">
          <cell r="B1186" t="str">
            <v>TX_CRA2026_374</v>
          </cell>
          <cell r="C1186" t="str">
            <v>0101601_JU_Huancayo_Centro to 0101687_JU_Leoncio_Prado</v>
          </cell>
          <cell r="D1186" t="str">
            <v>M0850</v>
          </cell>
          <cell r="E1186" t="str">
            <v>CRA MOVIL 2026</v>
          </cell>
          <cell r="F1186" t="str">
            <v>Vulnerabilidad</v>
          </cell>
          <cell r="G1186">
            <v>2026</v>
          </cell>
          <cell r="H1186" t="str">
            <v>Q2</v>
          </cell>
          <cell r="I1186" t="str">
            <v>Nathaly Allcca</v>
          </cell>
          <cell r="J1186" t="str">
            <v>No RFI</v>
          </cell>
          <cell r="K1186">
            <v>46056</v>
          </cell>
        </row>
        <row r="1187">
          <cell r="B1187" t="str">
            <v>TX_CRA2026_375</v>
          </cell>
          <cell r="C1187" t="str">
            <v>0103502_LH_Barroso to 0103555_LH_Maria_Del_Valle</v>
          </cell>
          <cell r="D1187" t="str">
            <v>M0850</v>
          </cell>
          <cell r="E1187" t="str">
            <v>CRA MOVIL 2026</v>
          </cell>
          <cell r="F1187" t="str">
            <v>Vulnerabilidad</v>
          </cell>
          <cell r="G1187">
            <v>2026</v>
          </cell>
          <cell r="H1187" t="str">
            <v>Q2</v>
          </cell>
          <cell r="I1187" t="str">
            <v>Nathaly Allcca</v>
          </cell>
          <cell r="J1187" t="str">
            <v>No RFI</v>
          </cell>
          <cell r="K1187">
            <v>46056</v>
          </cell>
        </row>
        <row r="1188">
          <cell r="B1188" t="str">
            <v>TX_CRA2026_376</v>
          </cell>
          <cell r="C1188" t="str">
            <v>0100615_LI_Pacasmayo to 0104211_LI_Pacasmayo_2</v>
          </cell>
          <cell r="D1188" t="str">
            <v>M0850</v>
          </cell>
          <cell r="E1188" t="str">
            <v>CRA MOVIL 2026</v>
          </cell>
          <cell r="F1188" t="str">
            <v>Vulnerabilidad</v>
          </cell>
          <cell r="G1188">
            <v>2026</v>
          </cell>
          <cell r="H1188" t="str">
            <v>Q2</v>
          </cell>
          <cell r="I1188" t="str">
            <v>Nathaly Allcca</v>
          </cell>
          <cell r="J1188" t="str">
            <v>No RFI</v>
          </cell>
          <cell r="K1188">
            <v>46056</v>
          </cell>
        </row>
        <row r="1189">
          <cell r="B1189" t="str">
            <v>TX_CRA2026_377</v>
          </cell>
          <cell r="C1189" t="str">
            <v>0101606_JU_Chupaca to 0103048_JU_Silla</v>
          </cell>
          <cell r="D1189" t="str">
            <v>M0850</v>
          </cell>
          <cell r="E1189" t="str">
            <v>CRA MOVIL 2026</v>
          </cell>
          <cell r="F1189" t="str">
            <v>Vulnerabilidad</v>
          </cell>
          <cell r="G1189">
            <v>2026</v>
          </cell>
          <cell r="H1189" t="str">
            <v>Q2</v>
          </cell>
          <cell r="I1189" t="str">
            <v>Nathaly Allcca</v>
          </cell>
          <cell r="J1189" t="str">
            <v>No RFI</v>
          </cell>
          <cell r="K1189">
            <v>46056</v>
          </cell>
        </row>
        <row r="1190">
          <cell r="B1190" t="str">
            <v>TX_CRA2026_378</v>
          </cell>
          <cell r="C1190" t="str">
            <v>0104161_LI_Egipto to 0104408_LI_Heredia</v>
          </cell>
          <cell r="D1190" t="str">
            <v>M0850</v>
          </cell>
          <cell r="E1190" t="str">
            <v>CRA MOVIL 2026</v>
          </cell>
          <cell r="F1190" t="str">
            <v>Vulnerabilidad</v>
          </cell>
          <cell r="G1190">
            <v>2026</v>
          </cell>
          <cell r="H1190" t="str">
            <v>Q2</v>
          </cell>
          <cell r="I1190" t="str">
            <v>Nathaly Allcca</v>
          </cell>
          <cell r="J1190" t="str">
            <v>No RFI</v>
          </cell>
          <cell r="K1190">
            <v>46056</v>
          </cell>
        </row>
        <row r="1191">
          <cell r="B1191" t="str">
            <v>TX_CRA2026_379</v>
          </cell>
          <cell r="C1191" t="str">
            <v>0103376_UY_Manantay to 010351013_UY_14_de_Febrero</v>
          </cell>
          <cell r="D1191" t="str">
            <v>M0850</v>
          </cell>
          <cell r="E1191" t="str">
            <v>CRA MOVIL 2026</v>
          </cell>
          <cell r="F1191" t="str">
            <v>Vulnerabilidad</v>
          </cell>
          <cell r="G1191">
            <v>2026</v>
          </cell>
          <cell r="H1191" t="str">
            <v>Q2</v>
          </cell>
          <cell r="I1191" t="str">
            <v>Nathaly Allcca</v>
          </cell>
          <cell r="J1191" t="str">
            <v>No RFI</v>
          </cell>
          <cell r="K1191">
            <v>46056</v>
          </cell>
        </row>
        <row r="1192">
          <cell r="B1192" t="str">
            <v>TX_CRA2026_380</v>
          </cell>
          <cell r="C1192" t="str">
            <v>0100311_LM_Santa_Clara to 0101069_LM_Barrio_Obrero_Ate</v>
          </cell>
          <cell r="D1192" t="str">
            <v>M0850</v>
          </cell>
          <cell r="E1192" t="str">
            <v>CRA MOVIL 2026</v>
          </cell>
          <cell r="F1192" t="str">
            <v>Vulnerabilidad</v>
          </cell>
          <cell r="G1192">
            <v>2026</v>
          </cell>
          <cell r="H1192" t="str">
            <v>Q2</v>
          </cell>
          <cell r="I1192" t="str">
            <v>Nathaly Allcca</v>
          </cell>
          <cell r="J1192" t="str">
            <v>No RFI</v>
          </cell>
          <cell r="K1192">
            <v>46056</v>
          </cell>
        </row>
        <row r="1193">
          <cell r="B1193" t="str">
            <v>TX_CRA2026_381</v>
          </cell>
          <cell r="C1193" t="str">
            <v>0105557_LM_Municip_Jicamarca to 0104507_LM_Los_Amautas</v>
          </cell>
          <cell r="D1193" t="str">
            <v>M0850</v>
          </cell>
          <cell r="E1193" t="str">
            <v>CRA MOVIL 2026</v>
          </cell>
          <cell r="F1193" t="str">
            <v>Vulnerabilidad</v>
          </cell>
          <cell r="G1193">
            <v>2026</v>
          </cell>
          <cell r="H1193" t="str">
            <v>Q2</v>
          </cell>
          <cell r="I1193" t="str">
            <v>Nathaly Allcca</v>
          </cell>
          <cell r="J1193" t="str">
            <v>No RFI</v>
          </cell>
          <cell r="K1193">
            <v>46056</v>
          </cell>
        </row>
        <row r="1194">
          <cell r="B1194" t="str">
            <v>TX_CRA2026_382</v>
          </cell>
          <cell r="C1194" t="str">
            <v>0105557_LM_Municip_Jicamarca to 0104669_LM_Alto_Grau</v>
          </cell>
          <cell r="D1194" t="str">
            <v>M0850</v>
          </cell>
          <cell r="E1194" t="str">
            <v>CRA MOVIL 2026</v>
          </cell>
          <cell r="F1194" t="str">
            <v>Vulnerabilidad</v>
          </cell>
          <cell r="G1194">
            <v>2026</v>
          </cell>
          <cell r="H1194" t="str">
            <v>Q2</v>
          </cell>
          <cell r="I1194" t="str">
            <v>Nathaly Allcca</v>
          </cell>
          <cell r="J1194" t="str">
            <v>No RFI</v>
          </cell>
          <cell r="K1194">
            <v>46056</v>
          </cell>
        </row>
        <row r="1195">
          <cell r="B1195" t="str">
            <v>TX_CRA2026_383</v>
          </cell>
          <cell r="C1195" t="str">
            <v>0100201_LM_Mega_Plaza to 0105453_LM_Trilce_Los_Olivos</v>
          </cell>
          <cell r="D1195" t="str">
            <v>M0850</v>
          </cell>
          <cell r="E1195" t="str">
            <v>CRA MOVIL 2026</v>
          </cell>
          <cell r="F1195" t="str">
            <v>Vulnerabilidad</v>
          </cell>
          <cell r="G1195">
            <v>2026</v>
          </cell>
          <cell r="H1195" t="str">
            <v>Q2</v>
          </cell>
          <cell r="I1195" t="str">
            <v>Nathaly Allcca</v>
          </cell>
          <cell r="J1195" t="str">
            <v>No RFI</v>
          </cell>
          <cell r="K1195">
            <v>46056</v>
          </cell>
        </row>
        <row r="1196">
          <cell r="B1196" t="str">
            <v>TX_CRA2026_384</v>
          </cell>
          <cell r="C1196" t="str">
            <v>0100087_LM_San_Miguelito to 0105119_LM_Dulanto</v>
          </cell>
          <cell r="D1196" t="str">
            <v>M0850</v>
          </cell>
          <cell r="E1196" t="str">
            <v>CRA MOVIL 2026</v>
          </cell>
          <cell r="F1196" t="str">
            <v>Vulnerabilidad</v>
          </cell>
          <cell r="G1196">
            <v>2026</v>
          </cell>
          <cell r="H1196" t="str">
            <v>Q2</v>
          </cell>
          <cell r="I1196" t="str">
            <v>Nathaly Allcca</v>
          </cell>
          <cell r="J1196" t="str">
            <v>No RFI</v>
          </cell>
          <cell r="K1196">
            <v>46056</v>
          </cell>
        </row>
        <row r="1197">
          <cell r="B1197" t="str">
            <v>TX_CRA2026_385</v>
          </cell>
          <cell r="C1197" t="str">
            <v>0100012_LM_Pando to 0100328_LM_Bertello</v>
          </cell>
          <cell r="D1197" t="str">
            <v>M0850</v>
          </cell>
          <cell r="E1197" t="str">
            <v>CRA MOVIL 2026</v>
          </cell>
          <cell r="F1197" t="str">
            <v>Vulnerabilidad</v>
          </cell>
          <cell r="G1197">
            <v>2026</v>
          </cell>
          <cell r="H1197" t="str">
            <v>Q2</v>
          </cell>
          <cell r="I1197" t="str">
            <v>Nathaly Allcca</v>
          </cell>
          <cell r="J1197" t="str">
            <v>No RFI</v>
          </cell>
          <cell r="K1197">
            <v>46056</v>
          </cell>
        </row>
        <row r="1198">
          <cell r="B1198" t="str">
            <v>TX_CRA2026_386</v>
          </cell>
          <cell r="C1198" t="str">
            <v>0100417_LM_Diez_Canseco to 0105893_LM_Huaca_Pullana</v>
          </cell>
          <cell r="D1198" t="str">
            <v>M0850</v>
          </cell>
          <cell r="E1198" t="str">
            <v>CRA MOVIL 2026</v>
          </cell>
          <cell r="F1198" t="str">
            <v>Vulnerabilidad</v>
          </cell>
          <cell r="G1198">
            <v>2026</v>
          </cell>
          <cell r="H1198" t="str">
            <v>Q2</v>
          </cell>
          <cell r="I1198" t="str">
            <v>Nathaly Allcca</v>
          </cell>
          <cell r="J1198" t="str">
            <v>No RFI</v>
          </cell>
          <cell r="K1198">
            <v>46056</v>
          </cell>
        </row>
        <row r="1199">
          <cell r="B1199" t="str">
            <v>TX_CRA2026_387</v>
          </cell>
          <cell r="C1199" t="str">
            <v>0101705_PI_Piura_Industrial to 0103281_PI_Ejidos</v>
          </cell>
          <cell r="D1199" t="str">
            <v>M0850</v>
          </cell>
          <cell r="E1199" t="str">
            <v>CRA MOVIL 2026</v>
          </cell>
          <cell r="F1199" t="str">
            <v>Vulnerabilidad</v>
          </cell>
          <cell r="G1199">
            <v>2026</v>
          </cell>
          <cell r="H1199" t="str">
            <v>Q2</v>
          </cell>
          <cell r="I1199" t="str">
            <v>Nathaly Allcca</v>
          </cell>
          <cell r="J1199" t="str">
            <v>No RFI</v>
          </cell>
          <cell r="K1199">
            <v>46056</v>
          </cell>
        </row>
        <row r="1200">
          <cell r="B1200" t="str">
            <v>TX_CRA2026_388</v>
          </cell>
          <cell r="C1200" t="str">
            <v>0101704_PI_Piura_Centro to 0101751_PI_La_Palmera_Piura</v>
          </cell>
          <cell r="D1200" t="str">
            <v>M0850</v>
          </cell>
          <cell r="E1200" t="str">
            <v>CRA MOVIL 2026</v>
          </cell>
          <cell r="F1200" t="str">
            <v>Vulnerabilidad</v>
          </cell>
          <cell r="G1200">
            <v>2026</v>
          </cell>
          <cell r="H1200" t="str">
            <v>Q2</v>
          </cell>
          <cell r="I1200" t="str">
            <v>Nathaly Allcca</v>
          </cell>
          <cell r="J1200" t="str">
            <v>No RFI</v>
          </cell>
          <cell r="K1200">
            <v>46056</v>
          </cell>
        </row>
        <row r="1201">
          <cell r="B1201" t="str">
            <v>TX_CRA2026_389</v>
          </cell>
          <cell r="C1201" t="str">
            <v>0105151_LM_Galpones to 0100557_LM_Mesa_De_Piedra</v>
          </cell>
          <cell r="D1201" t="str">
            <v>M0850</v>
          </cell>
          <cell r="E1201" t="str">
            <v>CRA MOVIL 2026</v>
          </cell>
          <cell r="F1201" t="str">
            <v>Vulnerabilidad</v>
          </cell>
          <cell r="G1201">
            <v>2026</v>
          </cell>
          <cell r="H1201" t="str">
            <v>Q2</v>
          </cell>
          <cell r="I1201" t="str">
            <v>Nathaly Allcca</v>
          </cell>
          <cell r="J1201" t="str">
            <v>No RFI</v>
          </cell>
          <cell r="K1201">
            <v>46056</v>
          </cell>
        </row>
        <row r="1202">
          <cell r="B1202" t="str">
            <v>TX_CRA2026_390</v>
          </cell>
          <cell r="C1202" t="str">
            <v>0101744_PI_Salida_Tambogrande to 010301631_PI_Las_Chavelas</v>
          </cell>
          <cell r="D1202" t="str">
            <v>M0850</v>
          </cell>
          <cell r="E1202" t="str">
            <v>CRA MOVIL 2026</v>
          </cell>
          <cell r="F1202" t="str">
            <v>Vulnerabilidad</v>
          </cell>
          <cell r="G1202">
            <v>2026</v>
          </cell>
          <cell r="H1202" t="str">
            <v>Q2</v>
          </cell>
          <cell r="I1202" t="str">
            <v>Nathaly Allcca</v>
          </cell>
          <cell r="J1202" t="str">
            <v>No RFI</v>
          </cell>
          <cell r="K1202">
            <v>46056</v>
          </cell>
        </row>
        <row r="1203">
          <cell r="B1203" t="str">
            <v>TX_CRA2026_391</v>
          </cell>
          <cell r="C1203" t="str">
            <v>0100069_LM_Fernandini to 0105098_LM_Juan_Bosco</v>
          </cell>
          <cell r="D1203" t="str">
            <v>M0850</v>
          </cell>
          <cell r="E1203" t="str">
            <v>CRA MOVIL 2026</v>
          </cell>
          <cell r="F1203" t="str">
            <v>Vulnerabilidad</v>
          </cell>
          <cell r="G1203">
            <v>2026</v>
          </cell>
          <cell r="H1203" t="str">
            <v>Q2</v>
          </cell>
          <cell r="I1203" t="str">
            <v>Nathaly Allcca</v>
          </cell>
          <cell r="J1203" t="str">
            <v>No RFI</v>
          </cell>
          <cell r="K1203">
            <v>46056</v>
          </cell>
        </row>
        <row r="1204">
          <cell r="B1204" t="str">
            <v>TX_CRA2026_392</v>
          </cell>
          <cell r="C1204" t="str">
            <v>0100398_LM_Canete to 0104551_LM_San_Luis_Ur</v>
          </cell>
          <cell r="D1204" t="str">
            <v>M0850</v>
          </cell>
          <cell r="E1204" t="str">
            <v>CRA MOVIL 2026</v>
          </cell>
          <cell r="F1204" t="str">
            <v>Vulnerabilidad</v>
          </cell>
          <cell r="G1204">
            <v>2026</v>
          </cell>
          <cell r="H1204" t="str">
            <v>Q2</v>
          </cell>
          <cell r="I1204" t="str">
            <v>Nathaly Allcca</v>
          </cell>
          <cell r="J1204" t="str">
            <v>No RFI</v>
          </cell>
          <cell r="K1204">
            <v>46056</v>
          </cell>
        </row>
        <row r="1205">
          <cell r="B1205" t="str">
            <v>TX_CRA2026_393</v>
          </cell>
          <cell r="C1205" t="str">
            <v>0100357_LM_Santa_Ana to 0106113_LM_Huatinamarca</v>
          </cell>
          <cell r="D1205" t="str">
            <v>M0850</v>
          </cell>
          <cell r="E1205" t="str">
            <v>CRA MOVIL 2026</v>
          </cell>
          <cell r="F1205" t="str">
            <v>Vulnerabilidad</v>
          </cell>
          <cell r="G1205">
            <v>2026</v>
          </cell>
          <cell r="H1205" t="str">
            <v>Q2</v>
          </cell>
          <cell r="I1205" t="str">
            <v>Nathaly Allcca</v>
          </cell>
          <cell r="J1205" t="str">
            <v>No RFI</v>
          </cell>
          <cell r="K1205">
            <v>46056</v>
          </cell>
        </row>
        <row r="1206">
          <cell r="B1206" t="str">
            <v>TX_CRA2026_394</v>
          </cell>
          <cell r="C1206" t="str">
            <v>0101308_CS_Cerro_Sacro_0101307_CS_Cerro_Huaynacorco</v>
          </cell>
          <cell r="D1206" t="str">
            <v>M0850</v>
          </cell>
          <cell r="E1206" t="str">
            <v>CRA MOVIL 2026</v>
          </cell>
          <cell r="F1206" t="str">
            <v>Vulnerabilidad</v>
          </cell>
          <cell r="G1206">
            <v>2026</v>
          </cell>
          <cell r="H1206" t="str">
            <v>Q2</v>
          </cell>
          <cell r="I1206" t="str">
            <v>Nathaly Allcca</v>
          </cell>
          <cell r="J1206" t="str">
            <v>Activado</v>
          </cell>
          <cell r="K1206">
            <v>46056</v>
          </cell>
        </row>
        <row r="1207">
          <cell r="B1207" t="str">
            <v>TX_CRA2026_395</v>
          </cell>
          <cell r="C1207" t="str">
            <v>0105586_LM_Gould to 0105588_LM_Trenemann</v>
          </cell>
          <cell r="D1207" t="str">
            <v>M0850</v>
          </cell>
          <cell r="E1207" t="str">
            <v>CRA MOVIL 2026</v>
          </cell>
          <cell r="F1207" t="str">
            <v>Vulnerabilidad</v>
          </cell>
          <cell r="G1207">
            <v>2026</v>
          </cell>
          <cell r="H1207" t="str">
            <v>Q2</v>
          </cell>
          <cell r="I1207" t="str">
            <v>Nathaly Allcca</v>
          </cell>
          <cell r="J1207" t="str">
            <v>No RFI</v>
          </cell>
          <cell r="K1207">
            <v>46056</v>
          </cell>
        </row>
        <row r="1208">
          <cell r="B1208" t="str">
            <v>TX_CRA2026_396</v>
          </cell>
          <cell r="C1208" t="str">
            <v>0100034_LM_Chorrillos to 0100334_LM_Gaviotas</v>
          </cell>
          <cell r="D1208" t="str">
            <v>M0850</v>
          </cell>
          <cell r="E1208" t="str">
            <v>CRA MOVIL 2026</v>
          </cell>
          <cell r="F1208" t="str">
            <v>Vulnerabilidad</v>
          </cell>
          <cell r="G1208">
            <v>2026</v>
          </cell>
          <cell r="H1208" t="str">
            <v>Q2</v>
          </cell>
          <cell r="I1208" t="str">
            <v>Nathaly Allcca</v>
          </cell>
          <cell r="J1208" t="str">
            <v>No RFI</v>
          </cell>
          <cell r="K1208">
            <v>46056</v>
          </cell>
        </row>
        <row r="1209">
          <cell r="B1209" t="str">
            <v>TX_CRA2026_397</v>
          </cell>
          <cell r="C1209" t="str">
            <v>0106079_LM_Terrazas_De_Pamplon to 0100317_LM_Pamplona_Alta</v>
          </cell>
          <cell r="D1209" t="str">
            <v>M0850</v>
          </cell>
          <cell r="E1209" t="str">
            <v>CRA MOVIL 2026</v>
          </cell>
          <cell r="F1209" t="str">
            <v>Vulnerabilidad</v>
          </cell>
          <cell r="G1209">
            <v>2026</v>
          </cell>
          <cell r="H1209" t="str">
            <v>Q2</v>
          </cell>
          <cell r="I1209" t="str">
            <v>Nathaly Allcca</v>
          </cell>
          <cell r="J1209" t="str">
            <v>No RFI</v>
          </cell>
          <cell r="K1209">
            <v>46056</v>
          </cell>
        </row>
        <row r="1210">
          <cell r="B1210" t="str">
            <v>TX_CRA2026_398</v>
          </cell>
          <cell r="C1210" t="str">
            <v>0100033_LM_San_Juan_de_Mirafl to 0100299_LM_Montero</v>
          </cell>
          <cell r="D1210" t="str">
            <v>M0850</v>
          </cell>
          <cell r="E1210" t="str">
            <v>CRA MOVIL 2026</v>
          </cell>
          <cell r="F1210" t="str">
            <v>Vulnerabilidad</v>
          </cell>
          <cell r="G1210">
            <v>2026</v>
          </cell>
          <cell r="H1210" t="str">
            <v>Q2</v>
          </cell>
          <cell r="I1210" t="str">
            <v>Nathaly Allcca</v>
          </cell>
          <cell r="J1210" t="str">
            <v>No RFI</v>
          </cell>
          <cell r="K1210">
            <v>46056</v>
          </cell>
        </row>
        <row r="1211">
          <cell r="B1211" t="str">
            <v>TX_CRA2026_399</v>
          </cell>
          <cell r="C1211" t="str">
            <v>0100312_LM_Huaycan to 0100076_LM_Huaycan_Centro_B</v>
          </cell>
          <cell r="D1211" t="str">
            <v>M0850</v>
          </cell>
          <cell r="E1211" t="str">
            <v>CRA MOVIL 2026</v>
          </cell>
          <cell r="F1211" t="str">
            <v>Vulnerabilidad</v>
          </cell>
          <cell r="G1211">
            <v>2026</v>
          </cell>
          <cell r="H1211" t="str">
            <v>Q2</v>
          </cell>
          <cell r="I1211" t="str">
            <v>Nathaly Allcca</v>
          </cell>
          <cell r="J1211" t="str">
            <v>No RFI</v>
          </cell>
          <cell r="K1211">
            <v>46056</v>
          </cell>
        </row>
        <row r="1212">
          <cell r="B1212" t="str">
            <v>TX_CRA2026_400</v>
          </cell>
          <cell r="C1212" t="str">
            <v>0103082_JU_El_Tambo_R1 to 0101635_JU_Undac</v>
          </cell>
          <cell r="D1212" t="str">
            <v>M0850</v>
          </cell>
          <cell r="E1212" t="str">
            <v>CRA MOVIL 2026</v>
          </cell>
          <cell r="F1212" t="str">
            <v>Vulnerabilidad</v>
          </cell>
          <cell r="G1212">
            <v>2026</v>
          </cell>
          <cell r="H1212" t="str">
            <v>Q2</v>
          </cell>
          <cell r="I1212" t="str">
            <v>Nathaly Allcca</v>
          </cell>
          <cell r="J1212" t="str">
            <v>No RFI</v>
          </cell>
          <cell r="K1212">
            <v>46056</v>
          </cell>
        </row>
        <row r="1213">
          <cell r="B1213" t="str">
            <v>TX_CRA2026_401</v>
          </cell>
          <cell r="C1213" t="str">
            <v>0100454_LM_San_Diego to 0105360_LM_Av_Central_Olivos</v>
          </cell>
          <cell r="D1213" t="str">
            <v>M0850</v>
          </cell>
          <cell r="E1213" t="str">
            <v>CRA MOVIL 2026</v>
          </cell>
          <cell r="F1213" t="str">
            <v>Vulnerabilidad</v>
          </cell>
          <cell r="G1213">
            <v>2026</v>
          </cell>
          <cell r="H1213" t="str">
            <v>Q2</v>
          </cell>
          <cell r="I1213" t="str">
            <v>Nathaly Allcca</v>
          </cell>
          <cell r="J1213" t="str">
            <v>No RFI</v>
          </cell>
          <cell r="K1213">
            <v>46056</v>
          </cell>
        </row>
        <row r="1214">
          <cell r="B1214" t="str">
            <v>TX_CRA2026_402</v>
          </cell>
          <cell r="C1214" t="str">
            <v>0103313_UY_Jorge_Najarkokali to 0104788_UY_Alborizacion</v>
          </cell>
          <cell r="D1214" t="str">
            <v>M0850</v>
          </cell>
          <cell r="E1214" t="str">
            <v>CRA MOVIL 2026</v>
          </cell>
          <cell r="F1214" t="str">
            <v>Vulnerabilidad</v>
          </cell>
          <cell r="G1214">
            <v>2026</v>
          </cell>
          <cell r="H1214" t="str">
            <v>Q2</v>
          </cell>
          <cell r="I1214" t="str">
            <v>Nathaly Allcca</v>
          </cell>
          <cell r="J1214" t="str">
            <v>No RFI</v>
          </cell>
          <cell r="K1214">
            <v>46056</v>
          </cell>
        </row>
        <row r="1215">
          <cell r="B1215" t="str">
            <v>TX_CRA2026_403</v>
          </cell>
          <cell r="C1215" t="str">
            <v>0101717_PI_La_Union to 0101703_PI_Catacaos</v>
          </cell>
          <cell r="D1215" t="str">
            <v>M0850</v>
          </cell>
          <cell r="E1215" t="str">
            <v>CRA MOVIL 2026</v>
          </cell>
          <cell r="F1215" t="str">
            <v>Vulnerabilidad</v>
          </cell>
          <cell r="G1215">
            <v>2026</v>
          </cell>
          <cell r="H1215" t="str">
            <v>Q2</v>
          </cell>
          <cell r="I1215" t="str">
            <v>Nathaly Allcca</v>
          </cell>
          <cell r="J1215" t="str">
            <v>No RFI</v>
          </cell>
          <cell r="K1215">
            <v>46056</v>
          </cell>
        </row>
        <row r="1216">
          <cell r="B1216" t="str">
            <v>TX_CRA2026_404</v>
          </cell>
          <cell r="C1216" t="str">
            <v>0100612_LI_La_Esperanza to 0140643_LI_Trujillo_Norte</v>
          </cell>
          <cell r="D1216" t="str">
            <v>M0850</v>
          </cell>
          <cell r="E1216" t="str">
            <v>CRA MOVIL 2026</v>
          </cell>
          <cell r="F1216" t="str">
            <v>Vulnerabilidad</v>
          </cell>
          <cell r="G1216">
            <v>2026</v>
          </cell>
          <cell r="H1216" t="str">
            <v>Q2</v>
          </cell>
          <cell r="I1216" t="str">
            <v>Nathaly Allcca</v>
          </cell>
          <cell r="J1216" t="str">
            <v>No RFI</v>
          </cell>
          <cell r="K1216">
            <v>46056</v>
          </cell>
        </row>
        <row r="1217">
          <cell r="B1217" t="str">
            <v>TX_CRA2026_405</v>
          </cell>
          <cell r="C1217" t="str">
            <v>0101008_LA_Moshoqueque to 0101010_LA_Lambayeque</v>
          </cell>
          <cell r="D1217" t="str">
            <v>M0850</v>
          </cell>
          <cell r="E1217" t="str">
            <v>CRA MOVIL 2026</v>
          </cell>
          <cell r="F1217" t="str">
            <v>Vulnerabilidad</v>
          </cell>
          <cell r="G1217">
            <v>2026</v>
          </cell>
          <cell r="H1217" t="str">
            <v>Q2</v>
          </cell>
          <cell r="I1217" t="str">
            <v>Nathaly Allcca</v>
          </cell>
          <cell r="J1217" t="str">
            <v>No RFI</v>
          </cell>
          <cell r="K1217">
            <v>46056</v>
          </cell>
        </row>
        <row r="1218">
          <cell r="B1218" t="str">
            <v>TX_CRA2026_406</v>
          </cell>
          <cell r="C1218" t="str">
            <v>0102017_LM_Rep_Chillon_0100373_LM_Carabayllo</v>
          </cell>
          <cell r="D1218" t="str">
            <v>M0850</v>
          </cell>
          <cell r="E1218" t="str">
            <v>CRA MOVIL 2026</v>
          </cell>
          <cell r="F1218" t="str">
            <v>Vulnerabilidad</v>
          </cell>
          <cell r="G1218">
            <v>2026</v>
          </cell>
          <cell r="H1218" t="str">
            <v>Q2</v>
          </cell>
          <cell r="I1218" t="str">
            <v>Nathaly Allcca</v>
          </cell>
          <cell r="J1218" t="str">
            <v>No RFI</v>
          </cell>
          <cell r="K1218">
            <v>46056</v>
          </cell>
        </row>
        <row r="1219">
          <cell r="B1219" t="str">
            <v>TX_CRA2026_407</v>
          </cell>
          <cell r="C1219" t="str">
            <v>0100387_LM_Lurin to 0105161_LM_Valle_Lurin_2</v>
          </cell>
          <cell r="D1219" t="str">
            <v>M0850</v>
          </cell>
          <cell r="E1219" t="str">
            <v>CRA MOVIL 2026</v>
          </cell>
          <cell r="F1219" t="str">
            <v>Vulnerabilidad</v>
          </cell>
          <cell r="G1219">
            <v>2026</v>
          </cell>
          <cell r="H1219" t="str">
            <v>Q2</v>
          </cell>
          <cell r="I1219" t="str">
            <v>Nathaly Allcca</v>
          </cell>
          <cell r="J1219" t="str">
            <v>No RFI</v>
          </cell>
          <cell r="K1219">
            <v>46056</v>
          </cell>
        </row>
        <row r="1220">
          <cell r="B1220" t="str">
            <v>TX_CRA2026_408</v>
          </cell>
          <cell r="C1220" t="str">
            <v>0101006_LA_Parque_Industrial to 0101074_LA_Las_Brisas</v>
          </cell>
          <cell r="D1220" t="str">
            <v>M0850</v>
          </cell>
          <cell r="E1220" t="str">
            <v>CRA MOVIL 2026</v>
          </cell>
          <cell r="F1220" t="str">
            <v>Vulnerabilidad</v>
          </cell>
          <cell r="G1220">
            <v>2026</v>
          </cell>
          <cell r="H1220" t="str">
            <v>Q2</v>
          </cell>
          <cell r="I1220" t="str">
            <v>Nathaly Allcca</v>
          </cell>
          <cell r="J1220" t="str">
            <v>No RFI</v>
          </cell>
          <cell r="K1220">
            <v>46056</v>
          </cell>
        </row>
        <row r="1221">
          <cell r="B1221" t="str">
            <v>TX_CRA2026_409</v>
          </cell>
          <cell r="C1221" t="str">
            <v>0101008_LA_Moshoqueque to 0101084_LA_El_Dorado</v>
          </cell>
          <cell r="D1221" t="str">
            <v>M0850</v>
          </cell>
          <cell r="E1221" t="str">
            <v>CRA MOVIL 2026</v>
          </cell>
          <cell r="F1221" t="str">
            <v>Vulnerabilidad</v>
          </cell>
          <cell r="G1221">
            <v>2026</v>
          </cell>
          <cell r="H1221" t="str">
            <v>Q2</v>
          </cell>
          <cell r="I1221" t="str">
            <v>Nathaly Allcca</v>
          </cell>
          <cell r="J1221" t="str">
            <v>No RFI</v>
          </cell>
          <cell r="K1221">
            <v>46056</v>
          </cell>
        </row>
        <row r="1222">
          <cell r="B1222" t="str">
            <v>TX_CRA2026_410</v>
          </cell>
          <cell r="C1222" t="str">
            <v>0101007_LA_Paseo_de_los_Hero to 0101037_LA_Estadio_Elias_Aguir</v>
          </cell>
          <cell r="D1222" t="str">
            <v>M0850</v>
          </cell>
          <cell r="E1222" t="str">
            <v>CRA MOVIL 2026</v>
          </cell>
          <cell r="F1222" t="str">
            <v>Vulnerabilidad</v>
          </cell>
          <cell r="G1222">
            <v>2026</v>
          </cell>
          <cell r="H1222" t="str">
            <v>Q2</v>
          </cell>
          <cell r="I1222" t="str">
            <v>Nathaly Allcca</v>
          </cell>
          <cell r="J1222" t="str">
            <v>No RFI</v>
          </cell>
          <cell r="K1222">
            <v>46056</v>
          </cell>
        </row>
        <row r="1223">
          <cell r="B1223" t="str">
            <v>TX_CRA2026_411</v>
          </cell>
          <cell r="C1223" t="str">
            <v>0101007_LA_Paseo_de_los_Hero to 0102401_LA_Santa_Elena</v>
          </cell>
          <cell r="D1223" t="str">
            <v>M0850</v>
          </cell>
          <cell r="E1223" t="str">
            <v>CRA MOVIL 2026</v>
          </cell>
          <cell r="F1223" t="str">
            <v>Vulnerabilidad</v>
          </cell>
          <cell r="G1223">
            <v>2026</v>
          </cell>
          <cell r="H1223" t="str">
            <v>Q2</v>
          </cell>
          <cell r="I1223" t="str">
            <v>Nathaly Allcca</v>
          </cell>
          <cell r="J1223" t="str">
            <v>No RFI</v>
          </cell>
          <cell r="K1223">
            <v>46056</v>
          </cell>
        </row>
        <row r="1224">
          <cell r="B1224" t="str">
            <v>TX_CRA2026_412</v>
          </cell>
          <cell r="C1224" t="str">
            <v>0100386_LM_Huaura to 0105701_LM_Cincuentenario</v>
          </cell>
          <cell r="D1224" t="str">
            <v>M0850</v>
          </cell>
          <cell r="E1224" t="str">
            <v>CRA MOVIL 2026</v>
          </cell>
          <cell r="F1224" t="str">
            <v>Vulnerabilidad</v>
          </cell>
          <cell r="G1224">
            <v>2026</v>
          </cell>
          <cell r="H1224" t="str">
            <v>Q2</v>
          </cell>
          <cell r="I1224" t="str">
            <v>Nathaly Allcca</v>
          </cell>
          <cell r="J1224" t="str">
            <v>No RFI</v>
          </cell>
          <cell r="K1224">
            <v>46056</v>
          </cell>
        </row>
        <row r="1225">
          <cell r="B1225" t="str">
            <v>TX_CRA2026_413</v>
          </cell>
          <cell r="C1225" t="str">
            <v>0105774_LM_Lima_Centro to 0100152_LM_Plaza_de_Armas</v>
          </cell>
          <cell r="D1225" t="str">
            <v>M0850</v>
          </cell>
          <cell r="E1225" t="str">
            <v>CRA MOVIL 2026</v>
          </cell>
          <cell r="F1225" t="str">
            <v>Vulnerabilidad</v>
          </cell>
          <cell r="G1225">
            <v>2026</v>
          </cell>
          <cell r="H1225" t="str">
            <v>Q2</v>
          </cell>
          <cell r="I1225" t="str">
            <v>Nathaly Allcca</v>
          </cell>
          <cell r="J1225" t="str">
            <v>No RFI</v>
          </cell>
          <cell r="K1225">
            <v>46056</v>
          </cell>
        </row>
        <row r="1226">
          <cell r="B1226" t="str">
            <v>TX_CRA2026_414</v>
          </cell>
          <cell r="C1226" t="str">
            <v>0100238_LM_Mello_Franco to 0100330_LM_Colombia</v>
          </cell>
          <cell r="D1226" t="str">
            <v>M0850</v>
          </cell>
          <cell r="E1226" t="str">
            <v>CRA MOVIL 2026</v>
          </cell>
          <cell r="F1226" t="str">
            <v>Vulnerabilidad</v>
          </cell>
          <cell r="G1226">
            <v>2026</v>
          </cell>
          <cell r="H1226" t="str">
            <v>Q2</v>
          </cell>
          <cell r="I1226" t="str">
            <v>Nathaly Allcca</v>
          </cell>
          <cell r="J1226" t="str">
            <v>No RFI</v>
          </cell>
          <cell r="K1226">
            <v>46056</v>
          </cell>
        </row>
        <row r="1227">
          <cell r="B1227" t="str">
            <v>TX_CRA2026_415</v>
          </cell>
          <cell r="C1227" t="str">
            <v>0100417_LM_Diez_Canseco to 0106141_LM_Mercado_Surquillos</v>
          </cell>
          <cell r="D1227" t="str">
            <v>M0850</v>
          </cell>
          <cell r="E1227" t="str">
            <v>CRA MOVIL 2026</v>
          </cell>
          <cell r="F1227" t="str">
            <v>Vulnerabilidad</v>
          </cell>
          <cell r="G1227">
            <v>2026</v>
          </cell>
          <cell r="H1227" t="str">
            <v>Q2</v>
          </cell>
          <cell r="I1227" t="str">
            <v>Nathaly Allcca</v>
          </cell>
          <cell r="J1227" t="str">
            <v>No RFI</v>
          </cell>
          <cell r="K1227">
            <v>46056</v>
          </cell>
        </row>
        <row r="1228">
          <cell r="B1228" t="str">
            <v>TX_CRA2026_416</v>
          </cell>
          <cell r="C1228" t="str">
            <v>0100289_LM_Castro_Castro to 0105560_LM_Planicie_De_Canto</v>
          </cell>
          <cell r="D1228" t="str">
            <v>M0850</v>
          </cell>
          <cell r="E1228" t="str">
            <v>CRA MOVIL 2026</v>
          </cell>
          <cell r="F1228" t="str">
            <v>Vulnerabilidad</v>
          </cell>
          <cell r="G1228">
            <v>2026</v>
          </cell>
          <cell r="H1228" t="str">
            <v>Q2</v>
          </cell>
          <cell r="I1228" t="str">
            <v>Nathaly Allcca</v>
          </cell>
          <cell r="J1228" t="str">
            <v>No RFI</v>
          </cell>
          <cell r="K1228">
            <v>46056</v>
          </cell>
        </row>
        <row r="1229">
          <cell r="B1229" t="str">
            <v>TX_CRA2026_417</v>
          </cell>
          <cell r="C1229" t="str">
            <v>0100815_IC_Chincha to 010210603_IC_Mercado_De_Abastos</v>
          </cell>
          <cell r="D1229" t="str">
            <v>M0850</v>
          </cell>
          <cell r="E1229" t="str">
            <v>CRA MOVIL 2026</v>
          </cell>
          <cell r="F1229" t="str">
            <v>Vulnerabilidad</v>
          </cell>
          <cell r="G1229">
            <v>2026</v>
          </cell>
          <cell r="H1229" t="str">
            <v>Q2</v>
          </cell>
          <cell r="I1229" t="str">
            <v>Nathaly Allcca</v>
          </cell>
          <cell r="J1229" t="str">
            <v>No RFI</v>
          </cell>
          <cell r="K1229">
            <v>46056</v>
          </cell>
        </row>
        <row r="1230">
          <cell r="B1230" t="str">
            <v>TX_CRA2026_418</v>
          </cell>
          <cell r="C1230" t="str">
            <v>0103868_AQ_Belen_Aqp to 0100977_AQ_Cipesac</v>
          </cell>
          <cell r="D1230" t="str">
            <v>M0850</v>
          </cell>
          <cell r="E1230" t="str">
            <v>CRA MOVIL 2026</v>
          </cell>
          <cell r="F1230" t="str">
            <v>Vulnerabilidad</v>
          </cell>
          <cell r="G1230">
            <v>2026</v>
          </cell>
          <cell r="H1230" t="str">
            <v>Q2</v>
          </cell>
          <cell r="I1230" t="str">
            <v>Nathaly Allcca</v>
          </cell>
          <cell r="J1230" t="str">
            <v>No RFI</v>
          </cell>
          <cell r="K1230">
            <v>46056</v>
          </cell>
        </row>
        <row r="1231">
          <cell r="B1231" t="str">
            <v>TX_CRA2026_419</v>
          </cell>
          <cell r="C1231" t="str">
            <v>0101207_TA_Cerro_Para to 0102627_TA_Zofratacna</v>
          </cell>
          <cell r="D1231" t="str">
            <v>M0850</v>
          </cell>
          <cell r="E1231" t="str">
            <v>CRA MOVIL 2026</v>
          </cell>
          <cell r="F1231" t="str">
            <v>Vulnerabilidad</v>
          </cell>
          <cell r="G1231">
            <v>2026</v>
          </cell>
          <cell r="H1231" t="str">
            <v>Q2</v>
          </cell>
          <cell r="I1231" t="str">
            <v>Nathaly Allcca</v>
          </cell>
          <cell r="J1231" t="str">
            <v>No RFI</v>
          </cell>
          <cell r="K1231">
            <v>46056</v>
          </cell>
        </row>
        <row r="1232">
          <cell r="B1232" t="str">
            <v>TX_CRA2026_420</v>
          </cell>
          <cell r="C1232" t="str">
            <v>0101301_CS_Wanchaq to 0101349_CS_Aero_Cusco</v>
          </cell>
          <cell r="D1232" t="str">
            <v>M0850</v>
          </cell>
          <cell r="E1232" t="str">
            <v>CRA MOVIL 2026</v>
          </cell>
          <cell r="F1232" t="str">
            <v>Vulnerabilidad</v>
          </cell>
          <cell r="G1232">
            <v>2026</v>
          </cell>
          <cell r="H1232" t="str">
            <v>Q2</v>
          </cell>
          <cell r="I1232" t="str">
            <v>Nathaly Allcca</v>
          </cell>
          <cell r="J1232" t="str">
            <v>No RFI</v>
          </cell>
          <cell r="K1232">
            <v>46056</v>
          </cell>
        </row>
        <row r="1233">
          <cell r="B1233" t="str">
            <v>TX_CRA2026_421</v>
          </cell>
          <cell r="C1233" t="str">
            <v>0100643_LI_Trujillo_Norte to 0104100_LI_Calle_26</v>
          </cell>
          <cell r="D1233" t="str">
            <v>M0850</v>
          </cell>
          <cell r="E1233" t="str">
            <v>CRA MOVIL 2026</v>
          </cell>
          <cell r="F1233" t="str">
            <v>Vulnerabilidad</v>
          </cell>
          <cell r="G1233">
            <v>2026</v>
          </cell>
          <cell r="H1233" t="str">
            <v>Q2</v>
          </cell>
          <cell r="I1233" t="str">
            <v>Nathaly Allcca</v>
          </cell>
          <cell r="J1233" t="str">
            <v>No RFI</v>
          </cell>
          <cell r="K1233">
            <v>46056</v>
          </cell>
        </row>
        <row r="1234">
          <cell r="B1234" t="str">
            <v>TX_CRA2026_422</v>
          </cell>
          <cell r="C1234" t="str">
            <v>0100607_LI_Husares_de_Junin to 0104167_LI_America_del_Norte</v>
          </cell>
          <cell r="D1234" t="str">
            <v>M0850</v>
          </cell>
          <cell r="E1234" t="str">
            <v>CRA MOVIL 2026</v>
          </cell>
          <cell r="F1234" t="str">
            <v>Vulnerabilidad</v>
          </cell>
          <cell r="G1234">
            <v>2026</v>
          </cell>
          <cell r="H1234" t="str">
            <v>Q2</v>
          </cell>
          <cell r="I1234" t="str">
            <v>Nathaly Allcca</v>
          </cell>
          <cell r="J1234" t="str">
            <v>No RFI</v>
          </cell>
          <cell r="K1234">
            <v>46056</v>
          </cell>
        </row>
        <row r="1235">
          <cell r="B1235" t="str">
            <v>TX_CRA2026_423</v>
          </cell>
          <cell r="C1235" t="str">
            <v>0100054_LM_Curie to 0105149_LM_Sateci</v>
          </cell>
          <cell r="D1235" t="str">
            <v>M0850</v>
          </cell>
          <cell r="E1235" t="str">
            <v>CRA MOVIL 2026</v>
          </cell>
          <cell r="F1235" t="str">
            <v>Vulnerabilidad</v>
          </cell>
          <cell r="G1235">
            <v>2026</v>
          </cell>
          <cell r="H1235" t="str">
            <v>Q2</v>
          </cell>
          <cell r="I1235" t="str">
            <v>Nathaly Allcca</v>
          </cell>
          <cell r="J1235" t="str">
            <v>No RFI</v>
          </cell>
          <cell r="K1235">
            <v>46056</v>
          </cell>
        </row>
        <row r="1236">
          <cell r="B1236" t="str">
            <v>TX_CRA2026_424</v>
          </cell>
          <cell r="C1236" t="str">
            <v>0105488_LM_Desarrollo_2000 to 0104773_LM_Ramon_Suarez</v>
          </cell>
          <cell r="D1236" t="str">
            <v>M0850</v>
          </cell>
          <cell r="E1236" t="str">
            <v>CRA MOVIL 2026</v>
          </cell>
          <cell r="F1236" t="str">
            <v>Vulnerabilidad</v>
          </cell>
          <cell r="G1236">
            <v>2026</v>
          </cell>
          <cell r="H1236" t="str">
            <v>Q2</v>
          </cell>
          <cell r="I1236" t="str">
            <v>Nathaly Allcca</v>
          </cell>
          <cell r="J1236" t="str">
            <v>No RFI</v>
          </cell>
          <cell r="K1236">
            <v>46056</v>
          </cell>
        </row>
        <row r="1237">
          <cell r="B1237" t="str">
            <v>TX_CRA2026_425</v>
          </cell>
          <cell r="C1237" t="str">
            <v>0100027_LM_San_Luis to 0106024_LM_Vesaglio</v>
          </cell>
          <cell r="D1237" t="str">
            <v>M0850</v>
          </cell>
          <cell r="E1237" t="str">
            <v>CRA MOVIL 2026</v>
          </cell>
          <cell r="F1237" t="str">
            <v>Vulnerabilidad</v>
          </cell>
          <cell r="G1237">
            <v>2026</v>
          </cell>
          <cell r="H1237" t="str">
            <v>Q2</v>
          </cell>
          <cell r="I1237" t="str">
            <v>Nathaly Allcca</v>
          </cell>
          <cell r="J1237" t="str">
            <v>No RFI</v>
          </cell>
          <cell r="K1237">
            <v>46056</v>
          </cell>
        </row>
        <row r="1238">
          <cell r="B1238" t="str">
            <v>TX_CRA2026_426</v>
          </cell>
          <cell r="C1238" t="str">
            <v>0100357_LM_Santa_Ana to 010251368_LM_Costa_Verde</v>
          </cell>
          <cell r="D1238" t="str">
            <v>M0850</v>
          </cell>
          <cell r="E1238" t="str">
            <v>CRA MOVIL 2026</v>
          </cell>
          <cell r="F1238" t="str">
            <v>Vulnerabilidad</v>
          </cell>
          <cell r="G1238">
            <v>2026</v>
          </cell>
          <cell r="H1238" t="str">
            <v>Q2</v>
          </cell>
          <cell r="I1238" t="str">
            <v>Nathaly Allcca</v>
          </cell>
          <cell r="J1238" t="str">
            <v>No RFI</v>
          </cell>
          <cell r="K1238">
            <v>46056</v>
          </cell>
        </row>
        <row r="1239">
          <cell r="B1239" t="str">
            <v>TX_CRA2026_427</v>
          </cell>
          <cell r="C1239" t="str">
            <v>0100871_IC_Puente_Blanco to 0100806_IC_Huacachina_Hotel</v>
          </cell>
          <cell r="D1239" t="str">
            <v>M0850</v>
          </cell>
          <cell r="E1239" t="str">
            <v>CRA MOVIL 2026</v>
          </cell>
          <cell r="F1239" t="str">
            <v>Vulnerabilidad</v>
          </cell>
          <cell r="G1239">
            <v>2026</v>
          </cell>
          <cell r="H1239" t="str">
            <v>Q2</v>
          </cell>
          <cell r="I1239" t="str">
            <v>Nathaly Allcca</v>
          </cell>
          <cell r="J1239" t="str">
            <v>No RFI</v>
          </cell>
          <cell r="K1239">
            <v>46056</v>
          </cell>
        </row>
        <row r="1240">
          <cell r="B1240" t="str">
            <v>TX_CRA2026_428</v>
          </cell>
          <cell r="C1240" t="str">
            <v>0100634_LI_Eguren to 0104277_LI_Trujillo_Junin</v>
          </cell>
          <cell r="D1240" t="str">
            <v>M0850</v>
          </cell>
          <cell r="E1240" t="str">
            <v>CRA MOVIL 2026</v>
          </cell>
          <cell r="F1240" t="str">
            <v>Vulnerabilidad</v>
          </cell>
          <cell r="G1240">
            <v>2026</v>
          </cell>
          <cell r="H1240" t="str">
            <v>Q2</v>
          </cell>
          <cell r="I1240" t="str">
            <v>Nathaly Allcca</v>
          </cell>
          <cell r="J1240" t="str">
            <v>No RFI</v>
          </cell>
          <cell r="K1240">
            <v>46056</v>
          </cell>
        </row>
        <row r="1241">
          <cell r="B1241" t="str">
            <v>MAC_Cobertura2026_9</v>
          </cell>
          <cell r="C1241" t="str">
            <v>CS_LasAmericasDeCusco</v>
          </cell>
          <cell r="D1241" t="str">
            <v>M0861</v>
          </cell>
          <cell r="E1241" t="str">
            <v>COBERTURA 2026</v>
          </cell>
          <cell r="F1241" t="str">
            <v>Macros</v>
          </cell>
          <cell r="G1241">
            <v>2026</v>
          </cell>
          <cell r="H1241" t="str">
            <v>2Q</v>
          </cell>
          <cell r="I1241" t="str">
            <v>Almendra Vásquez</v>
          </cell>
          <cell r="J1241" t="str">
            <v>En Busqueda</v>
          </cell>
          <cell r="K1241">
            <v>46035</v>
          </cell>
        </row>
        <row r="1242">
          <cell r="B1242" t="str">
            <v>MAC_Cobertura2026_117</v>
          </cell>
          <cell r="C1242" t="str">
            <v>PI_PlayasColan</v>
          </cell>
          <cell r="D1242" t="str">
            <v>M0861</v>
          </cell>
          <cell r="E1242" t="str">
            <v>COBERTURA 2026</v>
          </cell>
          <cell r="F1242" t="str">
            <v>Macros</v>
          </cell>
          <cell r="G1242">
            <v>2026</v>
          </cell>
          <cell r="H1242" t="str">
            <v>1 Q</v>
          </cell>
          <cell r="I1242" t="str">
            <v>Almendra Vásquez</v>
          </cell>
          <cell r="J1242" t="str">
            <v>En saneamiento</v>
          </cell>
          <cell r="K1242">
            <v>46035</v>
          </cell>
        </row>
        <row r="1243">
          <cell r="B1243" t="str">
            <v>MAC_RegulatorioCVM2026_349</v>
          </cell>
          <cell r="C1243" t="str">
            <v>013181637_CS_UgelAnta</v>
          </cell>
          <cell r="D1243" t="str">
            <v>Sin Cod</v>
          </cell>
          <cell r="E1243" t="str">
            <v>Regulatorio CVM</v>
          </cell>
          <cell r="F1243" t="str">
            <v>Macros</v>
          </cell>
          <cell r="G1243">
            <v>2026</v>
          </cell>
          <cell r="H1243" t="str">
            <v>2Q</v>
          </cell>
          <cell r="I1243" t="str">
            <v>Almendra Vásquez</v>
          </cell>
          <cell r="J1243" t="str">
            <v>En saneamiento</v>
          </cell>
          <cell r="K1243">
            <v>46064</v>
          </cell>
        </row>
        <row r="1244">
          <cell r="B1244" t="str">
            <v>MAC_RegulatorioCVM2026_350</v>
          </cell>
          <cell r="C1244" t="str">
            <v>013131451_AP_OvaloSinchi</v>
          </cell>
          <cell r="D1244" t="str">
            <v>Sin Cod</v>
          </cell>
          <cell r="E1244" t="str">
            <v>Regulatorio CVM</v>
          </cell>
          <cell r="F1244" t="str">
            <v>Macros</v>
          </cell>
          <cell r="G1244">
            <v>2026</v>
          </cell>
          <cell r="H1244" t="str">
            <v>2Q</v>
          </cell>
          <cell r="I1244" t="str">
            <v>Almendra Vásquez</v>
          </cell>
          <cell r="J1244" t="str">
            <v>En Busqueda</v>
          </cell>
          <cell r="K1244">
            <v>46064</v>
          </cell>
        </row>
        <row r="1245">
          <cell r="B1245" t="str">
            <v>MAC_RegulatorioCVM2026_351</v>
          </cell>
          <cell r="C1245" t="str">
            <v>013135714_AP_Choccepuquio</v>
          </cell>
          <cell r="D1245" t="str">
            <v>Sin Cod</v>
          </cell>
          <cell r="E1245" t="str">
            <v>Regulatorio CVM</v>
          </cell>
          <cell r="F1245" t="str">
            <v>Macros</v>
          </cell>
          <cell r="G1245">
            <v>2026</v>
          </cell>
          <cell r="H1245" t="str">
            <v>2Q</v>
          </cell>
          <cell r="I1245" t="str">
            <v>Almendra Vásquez</v>
          </cell>
          <cell r="J1245" t="str">
            <v>En Busqueda</v>
          </cell>
          <cell r="K1245">
            <v>46064</v>
          </cell>
        </row>
        <row r="1246">
          <cell r="B1246" t="str">
            <v>MAC_RegulatorioCVM2026_352</v>
          </cell>
          <cell r="C1246" t="str">
            <v>013166272_CA_CamposantoSanIgnacio</v>
          </cell>
          <cell r="D1246" t="str">
            <v>Sin Cod</v>
          </cell>
          <cell r="E1246" t="str">
            <v>Regulatorio CVM</v>
          </cell>
          <cell r="F1246" t="str">
            <v>Macros</v>
          </cell>
          <cell r="G1246">
            <v>2026</v>
          </cell>
          <cell r="H1246" t="str">
            <v>2Q</v>
          </cell>
          <cell r="I1246" t="str">
            <v>Almendra Vásquez</v>
          </cell>
          <cell r="J1246" t="str">
            <v>En Busqueda</v>
          </cell>
          <cell r="K1246">
            <v>46064</v>
          </cell>
        </row>
        <row r="1247">
          <cell r="B1247" t="str">
            <v>MAC_RegulatorioCVM2026_353</v>
          </cell>
          <cell r="C1247" t="str">
            <v>013316225_PN_SanAntonPueblo</v>
          </cell>
          <cell r="D1247" t="str">
            <v>Sin Cod</v>
          </cell>
          <cell r="E1247" t="str">
            <v>Regulatorio CVM</v>
          </cell>
          <cell r="F1247" t="str">
            <v>Macros</v>
          </cell>
          <cell r="G1247">
            <v>2026</v>
          </cell>
          <cell r="H1247" t="str">
            <v>2Q</v>
          </cell>
          <cell r="I1247" t="str">
            <v>Almendra Vásquez</v>
          </cell>
          <cell r="J1247" t="str">
            <v>En Busqueda</v>
          </cell>
          <cell r="K1247">
            <v>46064</v>
          </cell>
        </row>
        <row r="1248">
          <cell r="B1248" t="str">
            <v>MAC_CoberturaFDD2026_354</v>
          </cell>
          <cell r="C1248" t="str">
            <v>JU_CoberturaAdd_01</v>
          </cell>
          <cell r="D1248" t="str">
            <v>M0861</v>
          </cell>
          <cell r="E1248" t="str">
            <v>COBERTURA 2026</v>
          </cell>
          <cell r="F1248" t="str">
            <v>Macros</v>
          </cell>
          <cell r="G1248">
            <v>2026</v>
          </cell>
          <cell r="H1248" t="str">
            <v>2Q</v>
          </cell>
          <cell r="I1248" t="str">
            <v>Almendra Vásquez</v>
          </cell>
          <cell r="J1248" t="str">
            <v>En Busqueda</v>
          </cell>
          <cell r="K1248">
            <v>46064</v>
          </cell>
        </row>
        <row r="1249">
          <cell r="B1249" t="str">
            <v>MAC_CoberturaFDD2026_355</v>
          </cell>
          <cell r="C1249" t="str">
            <v>JU_CoberturaAdd_05</v>
          </cell>
          <cell r="D1249" t="str">
            <v>M0861</v>
          </cell>
          <cell r="E1249" t="str">
            <v>COBERTURA 2026</v>
          </cell>
          <cell r="F1249" t="str">
            <v>Macros</v>
          </cell>
          <cell r="G1249">
            <v>2026</v>
          </cell>
          <cell r="H1249" t="str">
            <v>2Q</v>
          </cell>
          <cell r="I1249" t="str">
            <v>Almendra Vásquez</v>
          </cell>
          <cell r="J1249" t="str">
            <v>En Busqueda</v>
          </cell>
          <cell r="K1249">
            <v>46064</v>
          </cell>
        </row>
        <row r="1250">
          <cell r="B1250" t="str">
            <v>MAC_CoberturaFDD2026_356</v>
          </cell>
          <cell r="C1250" t="str">
            <v>JU_CoberturaAdd_06</v>
          </cell>
          <cell r="D1250" t="str">
            <v>M0861</v>
          </cell>
          <cell r="E1250" t="str">
            <v>COBERTURA 2026</v>
          </cell>
          <cell r="F1250" t="str">
            <v>Macros</v>
          </cell>
          <cell r="G1250">
            <v>2026</v>
          </cell>
          <cell r="H1250" t="str">
            <v>2Q</v>
          </cell>
          <cell r="I1250" t="str">
            <v>Almendra Vásquez</v>
          </cell>
          <cell r="J1250" t="str">
            <v>En Busqueda</v>
          </cell>
          <cell r="K1250">
            <v>46064</v>
          </cell>
        </row>
        <row r="1251">
          <cell r="B1251" t="str">
            <v>MAC_CoberturaFDD2026_357</v>
          </cell>
          <cell r="C1251" t="str">
            <v>CA_Cajamarca_13</v>
          </cell>
          <cell r="D1251" t="str">
            <v>M0861</v>
          </cell>
          <cell r="E1251" t="str">
            <v>COBERTURA 2026</v>
          </cell>
          <cell r="F1251" t="str">
            <v>Macros</v>
          </cell>
          <cell r="G1251">
            <v>2026</v>
          </cell>
          <cell r="H1251" t="str">
            <v>2Q</v>
          </cell>
          <cell r="I1251" t="str">
            <v>Almendra Vásquez</v>
          </cell>
          <cell r="J1251" t="str">
            <v>En Busqueda</v>
          </cell>
          <cell r="K1251">
            <v>46064</v>
          </cell>
        </row>
        <row r="1252">
          <cell r="B1252" t="str">
            <v>MAC_CoberturaFDD2026_358</v>
          </cell>
          <cell r="C1252" t="str">
            <v>CA_CoberturaAdd_04</v>
          </cell>
          <cell r="D1252" t="str">
            <v>M0861</v>
          </cell>
          <cell r="E1252" t="str">
            <v>COBERTURA 2026</v>
          </cell>
          <cell r="F1252" t="str">
            <v>Macros</v>
          </cell>
          <cell r="G1252">
            <v>2026</v>
          </cell>
          <cell r="H1252" t="str">
            <v>2Q</v>
          </cell>
          <cell r="I1252" t="str">
            <v>Almendra Vásquez</v>
          </cell>
          <cell r="J1252" t="str">
            <v>En Busqueda</v>
          </cell>
          <cell r="K1252">
            <v>46064</v>
          </cell>
        </row>
        <row r="1253">
          <cell r="B1253" t="str">
            <v>MAC_COIEspectro_98</v>
          </cell>
          <cell r="C1253" t="str">
            <v>FZ_01814</v>
          </cell>
          <cell r="D1253" t="str">
            <v>M0839</v>
          </cell>
          <cell r="E1253" t="str">
            <v>COI ESPECTRO 2026</v>
          </cell>
          <cell r="F1253" t="str">
            <v>Sitios Nuevos 3.5</v>
          </cell>
          <cell r="G1253">
            <v>2026</v>
          </cell>
          <cell r="H1253" t="str">
            <v>Actualizar</v>
          </cell>
          <cell r="I1253" t="str">
            <v>Roy Bocanegra</v>
          </cell>
          <cell r="J1253" t="str">
            <v>En búsqueda</v>
          </cell>
          <cell r="K1253">
            <v>46064</v>
          </cell>
        </row>
        <row r="1254">
          <cell r="B1254" t="str">
            <v>MAC_COIEspectro_99</v>
          </cell>
          <cell r="C1254" t="str">
            <v>JG_00042</v>
          </cell>
          <cell r="D1254" t="str">
            <v>M0839</v>
          </cell>
          <cell r="E1254" t="str">
            <v>COI ESPECTRO 2026</v>
          </cell>
          <cell r="F1254" t="str">
            <v>Sitios Nuevos 3.5</v>
          </cell>
          <cell r="G1254">
            <v>2026</v>
          </cell>
          <cell r="H1254" t="str">
            <v>Actualizar</v>
          </cell>
          <cell r="I1254" t="str">
            <v>Roy Bocanegra</v>
          </cell>
          <cell r="J1254" t="str">
            <v>En búsqueda</v>
          </cell>
          <cell r="K1254">
            <v>46064</v>
          </cell>
        </row>
        <row r="1255">
          <cell r="B1255" t="str">
            <v>MAC_COIEspectro_100</v>
          </cell>
          <cell r="C1255" t="str">
            <v>JG_00044</v>
          </cell>
          <cell r="D1255" t="str">
            <v>M0839</v>
          </cell>
          <cell r="E1255" t="str">
            <v>COI ESPECTRO 2026</v>
          </cell>
          <cell r="F1255" t="str">
            <v>Sitios Nuevos 3.5</v>
          </cell>
          <cell r="G1255">
            <v>2026</v>
          </cell>
          <cell r="H1255" t="str">
            <v>Actualizar</v>
          </cell>
          <cell r="I1255" t="str">
            <v>Roy Bocanegra</v>
          </cell>
          <cell r="J1255" t="str">
            <v>En búsqueda</v>
          </cell>
          <cell r="K1255">
            <v>46064</v>
          </cell>
        </row>
        <row r="1256">
          <cell r="B1256" t="str">
            <v>Ind_indoorempresas2025_56</v>
          </cell>
          <cell r="C1256" t="str">
            <v>SCANIA DEL PERU S A</v>
          </cell>
          <cell r="D1256" t="str">
            <v>M0899</v>
          </cell>
          <cell r="E1256" t="str">
            <v>DESPLIEGUE INDOOR CLIENTES EMPRESAS 2026</v>
          </cell>
          <cell r="F1256" t="str">
            <v>Comerciales</v>
          </cell>
          <cell r="G1256">
            <v>2026</v>
          </cell>
          <cell r="H1256" t="str">
            <v>Q1</v>
          </cell>
          <cell r="I1256" t="str">
            <v>Marco Barboza</v>
          </cell>
          <cell r="J1256" t="str">
            <v>En Proceso</v>
          </cell>
          <cell r="K1256">
            <v>46066</v>
          </cell>
        </row>
        <row r="1257">
          <cell r="B1257" t="str">
            <v>Ind_indoorempresas2025_174</v>
          </cell>
          <cell r="C1257" t="str">
            <v>PROYECTO MINERA CORONA</v>
          </cell>
          <cell r="D1257" t="str">
            <v>M0899</v>
          </cell>
          <cell r="E1257" t="str">
            <v>DESPLIEGUE INDOOR CLIENTES EMPRESAS 2026</v>
          </cell>
          <cell r="F1257" t="str">
            <v>Comerciales</v>
          </cell>
          <cell r="G1257">
            <v>2026</v>
          </cell>
          <cell r="H1257" t="str">
            <v>Q1</v>
          </cell>
          <cell r="I1257" t="str">
            <v>Marco Barboza</v>
          </cell>
          <cell r="J1257" t="str">
            <v>En Proceso</v>
          </cell>
          <cell r="K1257">
            <v>46066</v>
          </cell>
        </row>
        <row r="1258">
          <cell r="B1258" t="str">
            <v>Ind_indoorempresas2025_197</v>
          </cell>
          <cell r="C1258" t="str">
            <v xml:space="preserve">CERAMICA LIMA S.A	</v>
          </cell>
          <cell r="D1258" t="str">
            <v>M0899</v>
          </cell>
          <cell r="E1258" t="str">
            <v>DESPLIEGUE INDOOR CLIENTES EMPRESAS 2026</v>
          </cell>
          <cell r="F1258" t="str">
            <v>Comerciales</v>
          </cell>
          <cell r="G1258">
            <v>2026</v>
          </cell>
          <cell r="H1258" t="str">
            <v>Q1</v>
          </cell>
          <cell r="I1258" t="str">
            <v>Marco Barboza</v>
          </cell>
          <cell r="J1258" t="str">
            <v>En Proceso</v>
          </cell>
          <cell r="K1258">
            <v>46066</v>
          </cell>
        </row>
        <row r="1259">
          <cell r="B1259" t="str">
            <v>Ind_indoorempresas2025_203</v>
          </cell>
          <cell r="C1259" t="str">
            <v>DROKASA - SEDE HUACHO Sur</v>
          </cell>
          <cell r="D1259" t="str">
            <v>M0899</v>
          </cell>
          <cell r="E1259" t="str">
            <v>DESPLIEGUE INDOOR CLIENTES EMPRESAS 2026</v>
          </cell>
          <cell r="F1259" t="str">
            <v>Comerciales</v>
          </cell>
          <cell r="G1259">
            <v>2026</v>
          </cell>
          <cell r="H1259" t="str">
            <v>Q1</v>
          </cell>
          <cell r="I1259" t="str">
            <v>Marco Barboza</v>
          </cell>
          <cell r="J1259" t="str">
            <v>En Proceso</v>
          </cell>
          <cell r="K1259">
            <v>46066</v>
          </cell>
        </row>
        <row r="1260">
          <cell r="B1260" t="str">
            <v>Ind_indoorempresas2025_204</v>
          </cell>
          <cell r="C1260" t="str">
            <v>DROKASA - SEDE HUACHO Norte</v>
          </cell>
          <cell r="D1260" t="str">
            <v>M0899</v>
          </cell>
          <cell r="E1260" t="str">
            <v>DESPLIEGUE INDOOR CLIENTES EMPRESAS 2026</v>
          </cell>
          <cell r="F1260" t="str">
            <v>Comerciales</v>
          </cell>
          <cell r="G1260">
            <v>2026</v>
          </cell>
          <cell r="H1260" t="str">
            <v>Q1</v>
          </cell>
          <cell r="I1260" t="str">
            <v>Marco Barboza</v>
          </cell>
          <cell r="J1260" t="str">
            <v>En Proceso</v>
          </cell>
          <cell r="K1260">
            <v>46066</v>
          </cell>
        </row>
        <row r="1261">
          <cell r="B1261" t="str">
            <v>Ind_indoorempresas2025_219</v>
          </cell>
          <cell r="C1261" t="str">
            <v>BRAEDT S.A.</v>
          </cell>
          <cell r="D1261" t="str">
            <v>M0899</v>
          </cell>
          <cell r="E1261" t="str">
            <v>DESPLIEGUE INDOOR CLIENTES EMPRESAS 2026</v>
          </cell>
          <cell r="F1261" t="str">
            <v>Comerciales</v>
          </cell>
          <cell r="G1261">
            <v>2026</v>
          </cell>
          <cell r="H1261" t="str">
            <v>Q1</v>
          </cell>
          <cell r="I1261" t="str">
            <v>Marco Barboza</v>
          </cell>
          <cell r="J1261" t="str">
            <v>En Proceso</v>
          </cell>
          <cell r="K1261">
            <v>46066</v>
          </cell>
        </row>
        <row r="1262">
          <cell r="B1262" t="str">
            <v>Ind_indoorempresas2025_222</v>
          </cell>
          <cell r="C1262" t="str">
            <v>PESQUERA DIAMANTE SA</v>
          </cell>
          <cell r="D1262" t="str">
            <v>M0899</v>
          </cell>
          <cell r="E1262" t="str">
            <v>DESPLIEGUE INDOOR CLIENTES EMPRESAS 2026</v>
          </cell>
          <cell r="F1262" t="str">
            <v>Comerciales</v>
          </cell>
          <cell r="G1262">
            <v>2026</v>
          </cell>
          <cell r="H1262" t="str">
            <v>Q1</v>
          </cell>
          <cell r="I1262" t="str">
            <v>Marco Barboza</v>
          </cell>
          <cell r="J1262" t="str">
            <v>En Proceso</v>
          </cell>
          <cell r="K1262">
            <v>46066</v>
          </cell>
        </row>
        <row r="1263">
          <cell r="B1263" t="str">
            <v>Ind_indoorempresas2025_233</v>
          </cell>
          <cell r="C1263" t="str">
            <v>EL PEDREGAL S.A.</v>
          </cell>
          <cell r="D1263" t="str">
            <v>M0899</v>
          </cell>
          <cell r="E1263" t="str">
            <v>DESPLIEGUE INDOOR CLIENTES EMPRESAS 2026</v>
          </cell>
          <cell r="F1263" t="str">
            <v>Comerciales</v>
          </cell>
          <cell r="G1263">
            <v>2026</v>
          </cell>
          <cell r="H1263" t="str">
            <v>Q1</v>
          </cell>
          <cell r="I1263" t="str">
            <v>Marco Barboza</v>
          </cell>
          <cell r="J1263" t="str">
            <v>En Proceso</v>
          </cell>
          <cell r="K1263">
            <v>46066</v>
          </cell>
        </row>
        <row r="1264">
          <cell r="B1264" t="str">
            <v>Ind_indoorempresas2025_237</v>
          </cell>
          <cell r="C1264" t="str">
            <v>AUNA - CLINICA DELGADO</v>
          </cell>
          <cell r="D1264" t="str">
            <v>M0899</v>
          </cell>
          <cell r="E1264" t="str">
            <v>DESPLIEGUE INDOOR CLIENTES EMPRESAS 2026</v>
          </cell>
          <cell r="F1264" t="str">
            <v>Comerciales</v>
          </cell>
          <cell r="G1264">
            <v>2026</v>
          </cell>
          <cell r="H1264" t="str">
            <v>Q1</v>
          </cell>
          <cell r="I1264" t="str">
            <v>Marco Barboza</v>
          </cell>
          <cell r="J1264" t="str">
            <v>En Proceso</v>
          </cell>
          <cell r="K1264">
            <v>46066</v>
          </cell>
        </row>
        <row r="1265">
          <cell r="B1265" t="str">
            <v>Ind_indoorempresas2025_238</v>
          </cell>
          <cell r="C1265" t="str">
            <v xml:space="preserve">DINET S.A.	</v>
          </cell>
          <cell r="D1265" t="str">
            <v>M0899</v>
          </cell>
          <cell r="E1265" t="str">
            <v>DESPLIEGUE INDOOR CLIENTES EMPRESAS 2026</v>
          </cell>
          <cell r="F1265" t="str">
            <v>Comerciales</v>
          </cell>
          <cell r="G1265">
            <v>2026</v>
          </cell>
          <cell r="H1265" t="str">
            <v>Q1</v>
          </cell>
          <cell r="I1265" t="str">
            <v>Marco Barboza</v>
          </cell>
          <cell r="J1265" t="str">
            <v>En Proceso</v>
          </cell>
          <cell r="K1265">
            <v>46066</v>
          </cell>
        </row>
        <row r="1266">
          <cell r="B1266" t="str">
            <v>Ind_indoorempresas2025_240</v>
          </cell>
          <cell r="C1266" t="str">
            <v>CORPORACION ACEROS AREQUIPA S.A.</v>
          </cell>
          <cell r="D1266" t="str">
            <v>M0899</v>
          </cell>
          <cell r="E1266" t="str">
            <v>DESPLIEGUE INDOOR CLIENTES EMPRESAS 2026</v>
          </cell>
          <cell r="F1266" t="str">
            <v>Comerciales</v>
          </cell>
          <cell r="G1266">
            <v>2026</v>
          </cell>
          <cell r="H1266" t="str">
            <v>Q1</v>
          </cell>
          <cell r="I1266" t="str">
            <v>Marco Barboza</v>
          </cell>
          <cell r="J1266" t="str">
            <v>En Proceso</v>
          </cell>
          <cell r="K1266">
            <v>46066</v>
          </cell>
        </row>
        <row r="1267">
          <cell r="B1267" t="str">
            <v>Ind_indoorempresas2025_244</v>
          </cell>
          <cell r="C1267" t="str">
            <v>HIRAOKA - MIRAFLORES</v>
          </cell>
          <cell r="D1267" t="str">
            <v>M0899</v>
          </cell>
          <cell r="E1267" t="str">
            <v>DESPLIEGUE INDOOR CLIENTES EMPRESAS 2026</v>
          </cell>
          <cell r="F1267" t="str">
            <v>Comerciales</v>
          </cell>
          <cell r="G1267">
            <v>2026</v>
          </cell>
          <cell r="H1267" t="str">
            <v>Q1</v>
          </cell>
          <cell r="I1267" t="str">
            <v>Marco Barboza</v>
          </cell>
          <cell r="J1267" t="str">
            <v>En Proceso</v>
          </cell>
          <cell r="K1267">
            <v>46066</v>
          </cell>
        </row>
        <row r="1268">
          <cell r="B1268" t="str">
            <v>Ind_indoorempresas2025_248</v>
          </cell>
          <cell r="C1268" t="str">
            <v>CORPORACION ACEROS AREQUIPA S.A.</v>
          </cell>
          <cell r="D1268" t="str">
            <v>M0899</v>
          </cell>
          <cell r="E1268" t="str">
            <v>DESPLIEGUE INDOOR CLIENTES EMPRESAS 2026</v>
          </cell>
          <cell r="F1268" t="str">
            <v>Comerciales</v>
          </cell>
          <cell r="G1268">
            <v>2026</v>
          </cell>
          <cell r="H1268" t="str">
            <v>Q1</v>
          </cell>
          <cell r="I1268" t="str">
            <v>Marco Barboza</v>
          </cell>
          <cell r="J1268" t="str">
            <v>En Proceso</v>
          </cell>
          <cell r="K1268">
            <v>46066</v>
          </cell>
        </row>
        <row r="1269">
          <cell r="B1269" t="str">
            <v>Ind_indoorempresas2025_249</v>
          </cell>
          <cell r="C1269" t="str">
            <v xml:space="preserve">ORGANISMO SUPERVISOR DE LA INVERSION EN ENERGIA Y MINERIA - OSINERGMIN	</v>
          </cell>
          <cell r="D1269" t="str">
            <v>M0899</v>
          </cell>
          <cell r="E1269" t="str">
            <v>DESPLIEGUE INDOOR CLIENTES EMPRESAS 2026</v>
          </cell>
          <cell r="F1269" t="str">
            <v>Comerciales</v>
          </cell>
          <cell r="G1269">
            <v>2026</v>
          </cell>
          <cell r="H1269" t="str">
            <v>Q1</v>
          </cell>
          <cell r="I1269" t="str">
            <v>Marco Barboza</v>
          </cell>
          <cell r="J1269" t="str">
            <v>En Proceso</v>
          </cell>
          <cell r="K1269">
            <v>46066</v>
          </cell>
        </row>
        <row r="1270">
          <cell r="B1270" t="str">
            <v>Ind_indoorempresas2025_251</v>
          </cell>
          <cell r="C1270" t="str">
            <v xml:space="preserve">CPPQ S.A.	</v>
          </cell>
          <cell r="D1270" t="str">
            <v>M0899</v>
          </cell>
          <cell r="E1270" t="str">
            <v>DESPLIEGUE INDOOR CLIENTES EMPRESAS 2026</v>
          </cell>
          <cell r="F1270" t="str">
            <v>Comerciales</v>
          </cell>
          <cell r="G1270">
            <v>2026</v>
          </cell>
          <cell r="H1270" t="str">
            <v>Q1</v>
          </cell>
          <cell r="I1270" t="str">
            <v>Marco Barboza</v>
          </cell>
          <cell r="J1270" t="str">
            <v>En Proceso</v>
          </cell>
          <cell r="K1270">
            <v>46066</v>
          </cell>
        </row>
        <row r="1271">
          <cell r="B1271" t="str">
            <v>Ind_indoorempresas2025_253</v>
          </cell>
          <cell r="C1271" t="str">
            <v> B. BRAUN MEDICAL PERU </v>
          </cell>
          <cell r="D1271" t="str">
            <v>M0899</v>
          </cell>
          <cell r="E1271" t="str">
            <v>DESPLIEGUE INDOOR CLIENTES EMPRESAS 2026</v>
          </cell>
          <cell r="F1271" t="str">
            <v>Comerciales</v>
          </cell>
          <cell r="G1271">
            <v>2026</v>
          </cell>
          <cell r="H1271" t="str">
            <v>Q1</v>
          </cell>
          <cell r="I1271" t="str">
            <v>Marco Barboza</v>
          </cell>
          <cell r="J1271" t="str">
            <v>En Proceso</v>
          </cell>
          <cell r="K1271">
            <v>46066</v>
          </cell>
        </row>
        <row r="1272">
          <cell r="B1272" t="str">
            <v>Ind_indoorempresas2025_254</v>
          </cell>
          <cell r="C1272" t="str">
            <v> AGROINDUSTRIAS AIB S.A. </v>
          </cell>
          <cell r="D1272" t="str">
            <v>M0899</v>
          </cell>
          <cell r="E1272" t="str">
            <v>DESPLIEGUE INDOOR CLIENTES EMPRESAS 2026</v>
          </cell>
          <cell r="F1272" t="str">
            <v>Comerciales</v>
          </cell>
          <cell r="G1272">
            <v>2026</v>
          </cell>
          <cell r="H1272" t="str">
            <v>Q1</v>
          </cell>
          <cell r="I1272" t="str">
            <v>Marco Barboza</v>
          </cell>
          <cell r="J1272" t="str">
            <v>En Proceso</v>
          </cell>
          <cell r="K1272">
            <v>46066</v>
          </cell>
        </row>
        <row r="1273">
          <cell r="B1273" t="str">
            <v>Ind_indoorempresas2025_255</v>
          </cell>
          <cell r="C1273" t="str">
            <v>RINTI S.A.</v>
          </cell>
          <cell r="D1273" t="str">
            <v>M0899</v>
          </cell>
          <cell r="E1273" t="str">
            <v>DESPLIEGUE INDOOR CLIENTES EMPRESAS 2026</v>
          </cell>
          <cell r="F1273" t="str">
            <v>Comerciales</v>
          </cell>
          <cell r="G1273">
            <v>2026</v>
          </cell>
          <cell r="H1273" t="str">
            <v>Q1</v>
          </cell>
          <cell r="I1273" t="str">
            <v>Marco Barboza</v>
          </cell>
          <cell r="J1273" t="str">
            <v>En Proceso</v>
          </cell>
          <cell r="K1273">
            <v>46066</v>
          </cell>
        </row>
        <row r="1274">
          <cell r="B1274" t="str">
            <v>Ind_indoorempresas2025_256</v>
          </cell>
          <cell r="C1274" t="str">
            <v>ACEA PERU S.A.C.</v>
          </cell>
          <cell r="D1274" t="str">
            <v>M0899</v>
          </cell>
          <cell r="E1274" t="str">
            <v>DESPLIEGUE INDOOR CLIENTES EMPRESAS 2026</v>
          </cell>
          <cell r="F1274" t="str">
            <v>Comerciales</v>
          </cell>
          <cell r="G1274">
            <v>2026</v>
          </cell>
          <cell r="H1274" t="str">
            <v>Q1</v>
          </cell>
          <cell r="I1274" t="str">
            <v>Marco Barboza</v>
          </cell>
          <cell r="J1274" t="str">
            <v>En Proceso</v>
          </cell>
          <cell r="K1274">
            <v>46066</v>
          </cell>
        </row>
        <row r="1275">
          <cell r="B1275" t="str">
            <v>Ind_indoorempresas2025_257</v>
          </cell>
          <cell r="C1275" t="str">
            <v>TAI LOY S. A.</v>
          </cell>
          <cell r="D1275" t="str">
            <v>M0899</v>
          </cell>
          <cell r="E1275" t="str">
            <v>DESPLIEGUE INDOOR CLIENTES EMPRESAS 2026</v>
          </cell>
          <cell r="F1275" t="str">
            <v>Comerciales</v>
          </cell>
          <cell r="G1275">
            <v>2026</v>
          </cell>
          <cell r="H1275" t="str">
            <v>Q1</v>
          </cell>
          <cell r="I1275" t="str">
            <v>Marco Barboza</v>
          </cell>
          <cell r="J1275" t="str">
            <v>En Proceso</v>
          </cell>
          <cell r="K1275">
            <v>46066</v>
          </cell>
        </row>
        <row r="1276">
          <cell r="B1276" t="str">
            <v>Ind_indoorempresas2025_258</v>
          </cell>
          <cell r="C1276" t="str">
            <v>TAI LOY S. A.</v>
          </cell>
          <cell r="D1276" t="str">
            <v>M0899</v>
          </cell>
          <cell r="E1276" t="str">
            <v>DESPLIEGUE INDOOR CLIENTES EMPRESAS 2026</v>
          </cell>
          <cell r="F1276" t="str">
            <v>Comerciales</v>
          </cell>
          <cell r="G1276">
            <v>2026</v>
          </cell>
          <cell r="H1276" t="str">
            <v>Q1</v>
          </cell>
          <cell r="I1276" t="str">
            <v>Marco Barboza</v>
          </cell>
          <cell r="J1276" t="str">
            <v>En Proceso</v>
          </cell>
          <cell r="K1276">
            <v>46066</v>
          </cell>
        </row>
        <row r="1277">
          <cell r="B1277" t="str">
            <v>Ind_indoorempresas2026_1</v>
          </cell>
          <cell r="C1277" t="str">
            <v>GAS NATURAL DE LIMA Y CALLAO SA</v>
          </cell>
          <cell r="D1277" t="str">
            <v>M0899</v>
          </cell>
          <cell r="E1277" t="str">
            <v>DESPLIEGUE INDOOR CLIENTES EMPRESAS 2026</v>
          </cell>
          <cell r="F1277" t="str">
            <v>Comerciales</v>
          </cell>
          <cell r="G1277">
            <v>2026</v>
          </cell>
          <cell r="H1277" t="str">
            <v>Q1</v>
          </cell>
          <cell r="I1277" t="str">
            <v>Marco Barboza</v>
          </cell>
          <cell r="J1277" t="str">
            <v>En Proceso</v>
          </cell>
          <cell r="K1277">
            <v>46066</v>
          </cell>
        </row>
        <row r="1278">
          <cell r="B1278" t="str">
            <v>Ind_indoorempresas2026_2</v>
          </cell>
          <cell r="C1278" t="str">
            <v>CMAC PIURA S.A.C.</v>
          </cell>
          <cell r="D1278" t="str">
            <v>M0899</v>
          </cell>
          <cell r="E1278" t="str">
            <v>DESPLIEGUE INDOOR CLIENTES EMPRESAS 2026</v>
          </cell>
          <cell r="F1278" t="str">
            <v>Comerciales</v>
          </cell>
          <cell r="G1278">
            <v>2026</v>
          </cell>
          <cell r="H1278" t="str">
            <v>Q1</v>
          </cell>
          <cell r="I1278" t="str">
            <v>Marco Barboza</v>
          </cell>
          <cell r="J1278" t="str">
            <v>En Proceso</v>
          </cell>
          <cell r="K1278">
            <v>46066</v>
          </cell>
        </row>
        <row r="1279">
          <cell r="B1279" t="str">
            <v>Ind_indoorempresas2026_3</v>
          </cell>
          <cell r="C1279" t="str">
            <v>CMAC PIURA S.A.C.</v>
          </cell>
          <cell r="D1279" t="str">
            <v>M0899</v>
          </cell>
          <cell r="E1279" t="str">
            <v>DESPLIEGUE INDOOR CLIENTES EMPRESAS 2026</v>
          </cell>
          <cell r="F1279" t="str">
            <v>Comerciales</v>
          </cell>
          <cell r="G1279">
            <v>2026</v>
          </cell>
          <cell r="H1279" t="str">
            <v>Q1</v>
          </cell>
          <cell r="I1279" t="str">
            <v>Marco Barboza</v>
          </cell>
          <cell r="J1279" t="str">
            <v>En Proceso</v>
          </cell>
          <cell r="K1279">
            <v>46066</v>
          </cell>
        </row>
        <row r="1280">
          <cell r="B1280" t="str">
            <v>Ind_indoorempresas2026_4</v>
          </cell>
          <cell r="C1280" t="str">
            <v>INVERSIONES VETERINARIAS S.A</v>
          </cell>
          <cell r="D1280" t="str">
            <v>M0899</v>
          </cell>
          <cell r="E1280" t="str">
            <v>DESPLIEGUE INDOOR CLIENTES EMPRESAS 2026</v>
          </cell>
          <cell r="F1280" t="str">
            <v>Comerciales</v>
          </cell>
          <cell r="G1280">
            <v>2026</v>
          </cell>
          <cell r="H1280" t="str">
            <v>Q1</v>
          </cell>
          <cell r="I1280" t="str">
            <v>Marco Barboza</v>
          </cell>
          <cell r="J1280" t="str">
            <v>En Proceso</v>
          </cell>
          <cell r="K1280">
            <v>46066</v>
          </cell>
        </row>
        <row r="1281">
          <cell r="B1281" t="str">
            <v>Ind_indoorempresas2026_6</v>
          </cell>
          <cell r="C1281" t="str">
            <v>AGRICOLA DON RICARDO S.A.C.</v>
          </cell>
          <cell r="D1281" t="str">
            <v>M0899</v>
          </cell>
          <cell r="E1281" t="str">
            <v>DESPLIEGUE INDOOR CLIENTES EMPRESAS 2026</v>
          </cell>
          <cell r="F1281" t="str">
            <v>Comerciales</v>
          </cell>
          <cell r="G1281">
            <v>2026</v>
          </cell>
          <cell r="H1281" t="str">
            <v>Q1</v>
          </cell>
          <cell r="I1281" t="str">
            <v>Marco Barboza</v>
          </cell>
          <cell r="J1281" t="str">
            <v>En Proceso</v>
          </cell>
          <cell r="K1281">
            <v>46066</v>
          </cell>
        </row>
        <row r="1282">
          <cell r="B1282" t="str">
            <v>Ind_indoorempresas2026_7</v>
          </cell>
          <cell r="C1282" t="str">
            <v>GSP TRUJILLO S.A.C.</v>
          </cell>
          <cell r="D1282" t="str">
            <v>M0899</v>
          </cell>
          <cell r="E1282" t="str">
            <v>DESPLIEGUE INDOOR CLIENTES EMPRESAS 2026</v>
          </cell>
          <cell r="F1282" t="str">
            <v>Comerciales</v>
          </cell>
          <cell r="G1282">
            <v>2026</v>
          </cell>
          <cell r="H1282" t="str">
            <v>Q1</v>
          </cell>
          <cell r="I1282" t="str">
            <v>Marco Barboza</v>
          </cell>
          <cell r="J1282" t="str">
            <v>En Proceso</v>
          </cell>
          <cell r="K1282">
            <v>46066</v>
          </cell>
        </row>
        <row r="1283">
          <cell r="B1283" t="str">
            <v>Ind_indoorempresas2026_8</v>
          </cell>
          <cell r="C1283" t="str">
            <v>MATRITECH SAC</v>
          </cell>
          <cell r="D1283" t="str">
            <v>M0899</v>
          </cell>
          <cell r="E1283" t="str">
            <v>DESPLIEGUE INDOOR CLIENTES EMPRESAS 2026</v>
          </cell>
          <cell r="F1283" t="str">
            <v>Comerciales</v>
          </cell>
          <cell r="G1283">
            <v>2026</v>
          </cell>
          <cell r="H1283" t="str">
            <v>Q1</v>
          </cell>
          <cell r="I1283" t="str">
            <v>Marco Barboza</v>
          </cell>
          <cell r="J1283" t="str">
            <v>En Proceso</v>
          </cell>
          <cell r="K1283">
            <v>46066</v>
          </cell>
        </row>
        <row r="1284">
          <cell r="B1284" t="str">
            <v>Ind_indoorempresas2026_9</v>
          </cell>
          <cell r="C1284" t="str">
            <v>SECURITAS S.A.C.</v>
          </cell>
          <cell r="D1284" t="str">
            <v>M0899</v>
          </cell>
          <cell r="E1284" t="str">
            <v>DESPLIEGUE INDOOR CLIENTES EMPRESAS 2026</v>
          </cell>
          <cell r="F1284" t="str">
            <v>Comerciales</v>
          </cell>
          <cell r="G1284">
            <v>2026</v>
          </cell>
          <cell r="H1284" t="str">
            <v>Q1</v>
          </cell>
          <cell r="I1284" t="str">
            <v>Marco Barboza</v>
          </cell>
          <cell r="J1284" t="str">
            <v>En Proceso</v>
          </cell>
          <cell r="K1284">
            <v>46066</v>
          </cell>
        </row>
        <row r="1285">
          <cell r="B1285" t="str">
            <v>Ind_indoorempresas2026_10</v>
          </cell>
          <cell r="C1285" t="str">
            <v>CLINICA INTERNACIONAL S A</v>
          </cell>
          <cell r="D1285" t="str">
            <v>M0899</v>
          </cell>
          <cell r="E1285" t="str">
            <v>DESPLIEGUE INDOOR CLIENTES EMPRESAS 2026</v>
          </cell>
          <cell r="F1285" t="str">
            <v>Comerciales</v>
          </cell>
          <cell r="G1285">
            <v>2026</v>
          </cell>
          <cell r="H1285" t="str">
            <v>Q1</v>
          </cell>
          <cell r="I1285" t="str">
            <v>Marco Barboza</v>
          </cell>
          <cell r="J1285" t="str">
            <v>En Proceso</v>
          </cell>
          <cell r="K1285">
            <v>46066</v>
          </cell>
        </row>
        <row r="1286">
          <cell r="B1286" t="str">
            <v>TX_CRA2026_429</v>
          </cell>
          <cell r="C1286" t="str">
            <v>0105072_LM_Los_Chancas_0100499_LM_Huarochiri</v>
          </cell>
          <cell r="D1286" t="str">
            <v>M0850</v>
          </cell>
          <cell r="E1286" t="str">
            <v>CRA MOVIL 2026</v>
          </cell>
          <cell r="F1286" t="str">
            <v>Transporte</v>
          </cell>
          <cell r="G1286">
            <v>2026</v>
          </cell>
          <cell r="H1286" t="str">
            <v>Q2</v>
          </cell>
          <cell r="I1286" t="str">
            <v>Nathaly Allcca</v>
          </cell>
          <cell r="J1286" t="str">
            <v>RFI</v>
          </cell>
          <cell r="K1286">
            <v>46066</v>
          </cell>
        </row>
        <row r="1287">
          <cell r="B1287" t="str">
            <v>TX_CRA2026_430</v>
          </cell>
          <cell r="C1287" t="str">
            <v>0102451_LA_Virrey_Toledo_0101008_LA_Moshoqueque</v>
          </cell>
          <cell r="D1287" t="str">
            <v>M0850</v>
          </cell>
          <cell r="E1287" t="str">
            <v>CRA MOVIL 2026</v>
          </cell>
          <cell r="F1287" t="str">
            <v>Transporte</v>
          </cell>
          <cell r="G1287">
            <v>2026</v>
          </cell>
          <cell r="H1287" t="str">
            <v>Q2</v>
          </cell>
          <cell r="I1287" t="str">
            <v>Nathaly Allcca</v>
          </cell>
          <cell r="J1287" t="str">
            <v>RFI</v>
          </cell>
          <cell r="K1287">
            <v>46066</v>
          </cell>
        </row>
        <row r="1288">
          <cell r="B1288" t="str">
            <v>TX_CRA2026_431</v>
          </cell>
          <cell r="C1288" t="str">
            <v>0105797_LM_Manuel_Castaneda_0105789_LM_Asdopen</v>
          </cell>
          <cell r="D1288" t="str">
            <v>M0850</v>
          </cell>
          <cell r="E1288" t="str">
            <v>CRA MOVIL 2026</v>
          </cell>
          <cell r="F1288" t="str">
            <v>Transporte</v>
          </cell>
          <cell r="G1288">
            <v>2026</v>
          </cell>
          <cell r="H1288" t="str">
            <v>Q2</v>
          </cell>
          <cell r="I1288" t="str">
            <v>Nathaly Allcca</v>
          </cell>
          <cell r="J1288" t="str">
            <v>RFI</v>
          </cell>
          <cell r="K1288">
            <v>46066</v>
          </cell>
        </row>
        <row r="1289">
          <cell r="B1289" t="str">
            <v>TX_CRA2026_432</v>
          </cell>
          <cell r="C1289" t="str">
            <v>0101363_LM_Acebos_0100149_LM_Trapiche</v>
          </cell>
          <cell r="D1289" t="str">
            <v>M0850</v>
          </cell>
          <cell r="E1289" t="str">
            <v>CRA MOVIL 2026</v>
          </cell>
          <cell r="F1289" t="str">
            <v>Transporte</v>
          </cell>
          <cell r="G1289">
            <v>2026</v>
          </cell>
          <cell r="H1289" t="str">
            <v>Q2</v>
          </cell>
          <cell r="I1289" t="str">
            <v>Nathaly Allcca</v>
          </cell>
          <cell r="J1289" t="str">
            <v>RFI</v>
          </cell>
          <cell r="K1289">
            <v>46066</v>
          </cell>
        </row>
        <row r="1290">
          <cell r="B1290" t="str">
            <v>TX_CRA2026_433</v>
          </cell>
          <cell r="C1290" t="str">
            <v>0100128_LM_Garzon_0106310_LM_Lawn_Tennis</v>
          </cell>
          <cell r="D1290" t="str">
            <v>M0850</v>
          </cell>
          <cell r="E1290" t="str">
            <v>CRA MOVIL 2026</v>
          </cell>
          <cell r="F1290" t="str">
            <v>Transporte</v>
          </cell>
          <cell r="G1290">
            <v>2026</v>
          </cell>
          <cell r="H1290" t="str">
            <v>Q2</v>
          </cell>
          <cell r="I1290" t="str">
            <v>Nathaly Allcca</v>
          </cell>
          <cell r="J1290" t="str">
            <v>RFI</v>
          </cell>
          <cell r="K1290">
            <v>46066</v>
          </cell>
        </row>
        <row r="1291">
          <cell r="B1291" t="str">
            <v>TX_CRA2026_434</v>
          </cell>
          <cell r="C1291" t="str">
            <v>0103342_AN_Pomabamba_010120127_AN_Pomabamba_Ciudad</v>
          </cell>
          <cell r="D1291" t="str">
            <v>M0850</v>
          </cell>
          <cell r="E1291" t="str">
            <v>CRA MOVIL 2026</v>
          </cell>
          <cell r="F1291" t="str">
            <v>Transporte</v>
          </cell>
          <cell r="G1291">
            <v>2026</v>
          </cell>
          <cell r="H1291" t="str">
            <v>Q2</v>
          </cell>
          <cell r="I1291" t="str">
            <v>Nathaly Allcca</v>
          </cell>
          <cell r="J1291" t="str">
            <v>RFI</v>
          </cell>
          <cell r="K1291">
            <v>46066</v>
          </cell>
        </row>
        <row r="1292">
          <cell r="B1292" t="str">
            <v>TX_CRA2026_435</v>
          </cell>
          <cell r="C1292" t="str">
            <v>0100413_LM_Ramon_Riveyro_0102733_LM_HB_Diez_Canseco_AMT</v>
          </cell>
          <cell r="D1292" t="str">
            <v>M0850</v>
          </cell>
          <cell r="E1292" t="str">
            <v>CRA MOVIL 2026</v>
          </cell>
          <cell r="F1292" t="str">
            <v>Transporte</v>
          </cell>
          <cell r="G1292">
            <v>2026</v>
          </cell>
          <cell r="H1292" t="str">
            <v>Q2</v>
          </cell>
          <cell r="I1292" t="str">
            <v>Nathaly Allcca</v>
          </cell>
          <cell r="J1292" t="str">
            <v>RFI</v>
          </cell>
          <cell r="K1292">
            <v>46066</v>
          </cell>
        </row>
        <row r="1293">
          <cell r="B1293" t="str">
            <v>TX_CRA2026_436</v>
          </cell>
          <cell r="C1293" t="str">
            <v>0100205_LM_Ingenieros_0100015_LM_Huayucari</v>
          </cell>
          <cell r="D1293" t="str">
            <v>M0850</v>
          </cell>
          <cell r="E1293" t="str">
            <v>CRA MOVIL 2026</v>
          </cell>
          <cell r="F1293" t="str">
            <v>Transporte</v>
          </cell>
          <cell r="G1293">
            <v>2026</v>
          </cell>
          <cell r="H1293" t="str">
            <v>Q2</v>
          </cell>
          <cell r="I1293" t="str">
            <v>Nathaly Allcca</v>
          </cell>
          <cell r="J1293" t="str">
            <v>RFI</v>
          </cell>
          <cell r="K1293">
            <v>46066</v>
          </cell>
        </row>
        <row r="1294">
          <cell r="B1294" t="str">
            <v>TX_CRA2026_437</v>
          </cell>
          <cell r="C1294" t="str">
            <v>0101914_LO_Brusco_Y_La_Marina_0101935_LO_Punchana_Iquitos</v>
          </cell>
          <cell r="D1294" t="str">
            <v>M0850</v>
          </cell>
          <cell r="E1294" t="str">
            <v>CRA MOVIL 2026</v>
          </cell>
          <cell r="F1294" t="str">
            <v>Transporte</v>
          </cell>
          <cell r="G1294">
            <v>2026</v>
          </cell>
          <cell r="H1294" t="str">
            <v>Q2</v>
          </cell>
          <cell r="I1294" t="str">
            <v>Nathaly Allcca</v>
          </cell>
          <cell r="J1294" t="str">
            <v>RFI</v>
          </cell>
          <cell r="K1294">
            <v>46066</v>
          </cell>
        </row>
        <row r="1295">
          <cell r="B1295" t="str">
            <v>TX_CRA2026_438</v>
          </cell>
          <cell r="C1295" t="str">
            <v>0106182_LM_Continental_Villa_0105052_LM_Agrupacion_Pachacam</v>
          </cell>
          <cell r="D1295" t="str">
            <v>M0850</v>
          </cell>
          <cell r="E1295" t="str">
            <v>CRA MOVIL 2026</v>
          </cell>
          <cell r="F1295" t="str">
            <v>Transporte</v>
          </cell>
          <cell r="G1295">
            <v>2026</v>
          </cell>
          <cell r="H1295" t="str">
            <v>Q2</v>
          </cell>
          <cell r="I1295" t="str">
            <v>Nathaly Allcca</v>
          </cell>
          <cell r="J1295" t="str">
            <v>RFI</v>
          </cell>
          <cell r="K1295">
            <v>46066</v>
          </cell>
        </row>
        <row r="1296">
          <cell r="B1296" t="str">
            <v>TX_CRA2026_439</v>
          </cell>
          <cell r="C1296" t="str">
            <v>0102294_LM_Fortaleza_R1_0100501_LM_Tilda </v>
          </cell>
          <cell r="D1296" t="str">
            <v>M0850</v>
          </cell>
          <cell r="E1296" t="str">
            <v>CRA MOVIL 2026</v>
          </cell>
          <cell r="F1296" t="str">
            <v>Transporte</v>
          </cell>
          <cell r="G1296">
            <v>2026</v>
          </cell>
          <cell r="H1296" t="str">
            <v>Q2</v>
          </cell>
          <cell r="I1296" t="str">
            <v>Nathaly Allcca</v>
          </cell>
          <cell r="J1296" t="str">
            <v>RFI</v>
          </cell>
          <cell r="K1296">
            <v>46066</v>
          </cell>
        </row>
        <row r="1297">
          <cell r="B1297" t="str">
            <v>TX_CRA2026_440</v>
          </cell>
          <cell r="C1297" t="str">
            <v>0105521_LM_Prolongaciones_0105561_LM_Chuquilbamba</v>
          </cell>
          <cell r="D1297" t="str">
            <v>M0850</v>
          </cell>
          <cell r="E1297" t="str">
            <v>CRA MOVIL 2026</v>
          </cell>
          <cell r="F1297" t="str">
            <v>Transporte</v>
          </cell>
          <cell r="G1297">
            <v>2026</v>
          </cell>
          <cell r="H1297" t="str">
            <v>Q2</v>
          </cell>
          <cell r="I1297" t="str">
            <v>Nathaly Allcca</v>
          </cell>
          <cell r="J1297" t="str">
            <v>RFI</v>
          </cell>
          <cell r="K1297">
            <v>46066</v>
          </cell>
        </row>
        <row r="1298">
          <cell r="B1298" t="str">
            <v>TX_CRA2026_441</v>
          </cell>
          <cell r="C1298" t="str">
            <v>0100263_LM_Juan_Pablo_II_0100289_LM_Castro_Castro</v>
          </cell>
          <cell r="D1298" t="str">
            <v>M0850</v>
          </cell>
          <cell r="E1298" t="str">
            <v>CRA MOVIL 2026</v>
          </cell>
          <cell r="F1298" t="str">
            <v>Transporte</v>
          </cell>
          <cell r="G1298">
            <v>2026</v>
          </cell>
          <cell r="H1298" t="str">
            <v>Q2</v>
          </cell>
          <cell r="I1298" t="str">
            <v>Nathaly Allcca</v>
          </cell>
          <cell r="J1298" t="str">
            <v>RFI</v>
          </cell>
          <cell r="K1298">
            <v>46066</v>
          </cell>
        </row>
        <row r="1299">
          <cell r="B1299" t="str">
            <v>TX_CRA2026_442</v>
          </cell>
          <cell r="C1299" t="str">
            <v xml:space="preserve">0102306_SM_Simon_Bolivar_Tarap_0102300_SM_Et_Banda_De_Shilcay </v>
          </cell>
          <cell r="D1299" t="str">
            <v>M0850</v>
          </cell>
          <cell r="E1299" t="str">
            <v>CRA MOVIL 2026</v>
          </cell>
          <cell r="F1299" t="str">
            <v>Transporte</v>
          </cell>
          <cell r="G1299">
            <v>2026</v>
          </cell>
          <cell r="H1299" t="str">
            <v>Q2</v>
          </cell>
          <cell r="I1299" t="str">
            <v>Nathaly Allcca</v>
          </cell>
          <cell r="J1299" t="str">
            <v>RFI</v>
          </cell>
          <cell r="K1299">
            <v>46066</v>
          </cell>
        </row>
        <row r="1300">
          <cell r="B1300" t="str">
            <v>TX_CRA2026_443</v>
          </cell>
          <cell r="C1300" t="str">
            <v>0100619_LI_Universidad_Nacion_0100607_LI_Husares_de_Junin</v>
          </cell>
          <cell r="D1300" t="str">
            <v>M0850</v>
          </cell>
          <cell r="E1300" t="str">
            <v>CRA MOVIL 2026</v>
          </cell>
          <cell r="F1300" t="str">
            <v>Transporte</v>
          </cell>
          <cell r="G1300">
            <v>2026</v>
          </cell>
          <cell r="H1300" t="str">
            <v>Q2</v>
          </cell>
          <cell r="I1300" t="str">
            <v>Nathaly Allcca</v>
          </cell>
          <cell r="J1300" t="str">
            <v>RFI</v>
          </cell>
          <cell r="K1300">
            <v>46066</v>
          </cell>
        </row>
        <row r="1301">
          <cell r="B1301" t="str">
            <v>TX_CRA2026_444</v>
          </cell>
          <cell r="C1301" t="str">
            <v>0100262_LM_Alzamora_0100068_LM_Caceres</v>
          </cell>
          <cell r="D1301" t="str">
            <v>M0850</v>
          </cell>
          <cell r="E1301" t="str">
            <v>CRA MOVIL 2026</v>
          </cell>
          <cell r="F1301" t="str">
            <v>Transporte</v>
          </cell>
          <cell r="G1301">
            <v>2026</v>
          </cell>
          <cell r="H1301" t="str">
            <v>Q2</v>
          </cell>
          <cell r="I1301" t="str">
            <v>Nathaly Allcca</v>
          </cell>
          <cell r="J1301" t="str">
            <v>RFI</v>
          </cell>
          <cell r="K1301">
            <v>46066</v>
          </cell>
        </row>
        <row r="1302">
          <cell r="B1302" t="str">
            <v>TX_CRA2026_445</v>
          </cell>
          <cell r="C1302" t="str">
            <v>0102976_AP_Abancay_Alto_0102936_AP_Huallpahuasi</v>
          </cell>
          <cell r="D1302" t="str">
            <v>M0850</v>
          </cell>
          <cell r="E1302" t="str">
            <v>CRA MOVIL 2026</v>
          </cell>
          <cell r="F1302" t="str">
            <v>Transporte</v>
          </cell>
          <cell r="G1302">
            <v>2026</v>
          </cell>
          <cell r="H1302" t="str">
            <v>Q2</v>
          </cell>
          <cell r="I1302" t="str">
            <v>Nathaly Allcca</v>
          </cell>
          <cell r="J1302" t="str">
            <v>RFI</v>
          </cell>
          <cell r="K1302">
            <v>46066</v>
          </cell>
        </row>
        <row r="1303">
          <cell r="B1303" t="str">
            <v>TX_CRA2026_446</v>
          </cell>
          <cell r="C1303" t="str">
            <v>0103867_AQ_Alto_Cayma_0100907_AQ_Zamacola</v>
          </cell>
          <cell r="D1303" t="str">
            <v>M0850</v>
          </cell>
          <cell r="E1303" t="str">
            <v>CRA MOVIL 2026</v>
          </cell>
          <cell r="F1303" t="str">
            <v>Transporte</v>
          </cell>
          <cell r="G1303">
            <v>2026</v>
          </cell>
          <cell r="H1303" t="str">
            <v>Q2</v>
          </cell>
          <cell r="I1303" t="str">
            <v>Nathaly Allcca</v>
          </cell>
          <cell r="J1303" t="str">
            <v>RFI</v>
          </cell>
          <cell r="K1303">
            <v>46066</v>
          </cell>
        </row>
        <row r="1304">
          <cell r="B1304" t="str">
            <v>TX_CRA2026_447</v>
          </cell>
          <cell r="C1304" t="str">
            <v>0105963_LM_Teatro_Vichama_0100038_LM_Villa_Salvador</v>
          </cell>
          <cell r="D1304" t="str">
            <v>M0850</v>
          </cell>
          <cell r="E1304" t="str">
            <v>CRA MOVIL 2026</v>
          </cell>
          <cell r="F1304" t="str">
            <v>Transporte</v>
          </cell>
          <cell r="G1304">
            <v>2026</v>
          </cell>
          <cell r="H1304" t="str">
            <v>Q2</v>
          </cell>
          <cell r="I1304" t="str">
            <v>Nathaly Allcca</v>
          </cell>
          <cell r="J1304" t="str">
            <v>RFI</v>
          </cell>
          <cell r="K1304">
            <v>46066</v>
          </cell>
        </row>
        <row r="1305">
          <cell r="B1305" t="str">
            <v>TX_CRA2026_448</v>
          </cell>
          <cell r="C1305" t="str">
            <v>0104487_LM_Isabel_De_Villa_0100482_LM_Delicias</v>
          </cell>
          <cell r="D1305" t="str">
            <v>M0850</v>
          </cell>
          <cell r="E1305" t="str">
            <v>CRA MOVIL 2026</v>
          </cell>
          <cell r="F1305" t="str">
            <v>Transporte</v>
          </cell>
          <cell r="G1305">
            <v>2026</v>
          </cell>
          <cell r="H1305" t="str">
            <v>Q2</v>
          </cell>
          <cell r="I1305" t="str">
            <v>Nathaly Allcca</v>
          </cell>
          <cell r="J1305" t="str">
            <v>RFI</v>
          </cell>
          <cell r="K1305">
            <v>46066</v>
          </cell>
        </row>
        <row r="1306">
          <cell r="B1306" t="str">
            <v>TX_CRA2026_449</v>
          </cell>
          <cell r="C1306" t="str">
            <v>0102830_PN_Dorsal_Guayaca_0101416_PN_Cabana</v>
          </cell>
          <cell r="D1306" t="str">
            <v>M0850</v>
          </cell>
          <cell r="E1306" t="str">
            <v>CRA MOVIL 2026</v>
          </cell>
          <cell r="F1306" t="str">
            <v>Transporte</v>
          </cell>
          <cell r="G1306">
            <v>2026</v>
          </cell>
          <cell r="H1306" t="str">
            <v>Q2</v>
          </cell>
          <cell r="I1306" t="str">
            <v>Nathaly Allcca</v>
          </cell>
          <cell r="J1306" t="str">
            <v>NO RFI</v>
          </cell>
          <cell r="K1306">
            <v>46066</v>
          </cell>
        </row>
        <row r="1307">
          <cell r="B1307" t="str">
            <v>TX_CRA2026_450</v>
          </cell>
          <cell r="C1307" t="str">
            <v>0100484_LM_IB_Estacion_Central_0100040_LM_Wilson</v>
          </cell>
          <cell r="D1307" t="str">
            <v>M0850</v>
          </cell>
          <cell r="E1307" t="str">
            <v>CRA MOVIL 2026</v>
          </cell>
          <cell r="F1307" t="str">
            <v>Transporte</v>
          </cell>
          <cell r="G1307">
            <v>2026</v>
          </cell>
          <cell r="H1307" t="str">
            <v>Q2</v>
          </cell>
          <cell r="I1307" t="str">
            <v>Nathaly Allcca</v>
          </cell>
          <cell r="J1307" t="str">
            <v>NO RFI</v>
          </cell>
          <cell r="K1307">
            <v>46066</v>
          </cell>
        </row>
        <row r="1308">
          <cell r="B1308" t="str">
            <v>TX_CRA2026_451</v>
          </cell>
          <cell r="C1308" t="str">
            <v>0100495_LM_Suche_0100540_LM_Repetidor_La_Milla</v>
          </cell>
          <cell r="D1308" t="str">
            <v>M0850</v>
          </cell>
          <cell r="E1308" t="str">
            <v>CRA MOVIL 2026</v>
          </cell>
          <cell r="F1308" t="str">
            <v>Transporte</v>
          </cell>
          <cell r="G1308">
            <v>2026</v>
          </cell>
          <cell r="H1308" t="str">
            <v>Q2</v>
          </cell>
          <cell r="I1308" t="str">
            <v>Nathaly Allcca</v>
          </cell>
          <cell r="J1308" t="str">
            <v>NO RFI</v>
          </cell>
          <cell r="K1308">
            <v>46066</v>
          </cell>
        </row>
        <row r="1309">
          <cell r="B1309" t="str">
            <v>TX_CRA2026_452</v>
          </cell>
          <cell r="C1309" t="str">
            <v>0105877_LM_Ramon_Zavala_0100028_LM_MSO</v>
          </cell>
          <cell r="D1309" t="str">
            <v>M0850</v>
          </cell>
          <cell r="E1309" t="str">
            <v>CRA MOVIL 2026</v>
          </cell>
          <cell r="F1309" t="str">
            <v>Transporte</v>
          </cell>
          <cell r="G1309">
            <v>2026</v>
          </cell>
          <cell r="H1309" t="str">
            <v>Q2</v>
          </cell>
          <cell r="I1309" t="str">
            <v>Nathaly Allcca</v>
          </cell>
          <cell r="J1309" t="str">
            <v>NO RFI</v>
          </cell>
          <cell r="K1309">
            <v>46066</v>
          </cell>
        </row>
        <row r="1310">
          <cell r="B1310" t="str">
            <v>TX_CRA2026_453</v>
          </cell>
          <cell r="C1310" t="str">
            <v>0101701_PI_Pampas_de_Chepe_0101702_PI_Sechura</v>
          </cell>
          <cell r="D1310" t="str">
            <v>M0850</v>
          </cell>
          <cell r="E1310" t="str">
            <v>CRA MOVIL 2026</v>
          </cell>
          <cell r="F1310" t="str">
            <v>Transporte</v>
          </cell>
          <cell r="G1310">
            <v>2026</v>
          </cell>
          <cell r="H1310" t="str">
            <v>Q2</v>
          </cell>
          <cell r="I1310" t="str">
            <v>Nathaly Allcca</v>
          </cell>
          <cell r="J1310" t="str">
            <v>NO RFI</v>
          </cell>
          <cell r="K1310">
            <v>46066</v>
          </cell>
        </row>
        <row r="1311">
          <cell r="B1311" t="str">
            <v>TX_CRA2026_454</v>
          </cell>
          <cell r="C1311" t="str">
            <v>0105947_LM_Casimiro_Ulloa_R1_0100157_LM_Grimaldo_del_Solar</v>
          </cell>
          <cell r="D1311" t="str">
            <v>M0850</v>
          </cell>
          <cell r="E1311" t="str">
            <v>CRA MOVIL 2026</v>
          </cell>
          <cell r="F1311" t="str">
            <v>Transporte</v>
          </cell>
          <cell r="G1311">
            <v>2026</v>
          </cell>
          <cell r="H1311" t="str">
            <v>Q2</v>
          </cell>
          <cell r="I1311" t="str">
            <v>Nathaly Allcca</v>
          </cell>
          <cell r="J1311" t="str">
            <v>NO RFI</v>
          </cell>
          <cell r="K1311">
            <v>46066</v>
          </cell>
        </row>
        <row r="1312">
          <cell r="B1312" t="str">
            <v>TX_CRA2026_455</v>
          </cell>
          <cell r="C1312" t="str">
            <v>0100620_LI_Santiago_de_Cao_0100621_LI_Cartavio</v>
          </cell>
          <cell r="D1312" t="str">
            <v>M0850</v>
          </cell>
          <cell r="E1312" t="str">
            <v>CRA MOVIL 2026</v>
          </cell>
          <cell r="F1312" t="str">
            <v>Transporte</v>
          </cell>
          <cell r="G1312">
            <v>2026</v>
          </cell>
          <cell r="H1312" t="str">
            <v>Q2</v>
          </cell>
          <cell r="I1312" t="str">
            <v>Nathaly Allcca</v>
          </cell>
          <cell r="J1312" t="str">
            <v>NO RFI</v>
          </cell>
          <cell r="K1312">
            <v>46066</v>
          </cell>
        </row>
        <row r="1313">
          <cell r="B1313" t="str">
            <v>TX_CRA2026_456</v>
          </cell>
          <cell r="C1313" t="str">
            <v>0106345_LM_Playa_San_Bartolo_0100389_LM_San_Bartolo</v>
          </cell>
          <cell r="D1313" t="str">
            <v>M0850</v>
          </cell>
          <cell r="E1313" t="str">
            <v>CRA MOVIL 2026</v>
          </cell>
          <cell r="F1313" t="str">
            <v>Transporte</v>
          </cell>
          <cell r="G1313">
            <v>2026</v>
          </cell>
          <cell r="H1313" t="str">
            <v>Q2</v>
          </cell>
          <cell r="I1313" t="str">
            <v>Nathaly Allcca</v>
          </cell>
          <cell r="J1313" t="str">
            <v>NO RFI</v>
          </cell>
          <cell r="K1313">
            <v>46066</v>
          </cell>
        </row>
        <row r="1314">
          <cell r="B1314" t="str">
            <v>TX_CRA2026_457</v>
          </cell>
          <cell r="C1314" t="str">
            <v>0101309_CS_Calca_0101308_CS_Cerro_Sacro</v>
          </cell>
          <cell r="D1314" t="str">
            <v>M0850</v>
          </cell>
          <cell r="E1314" t="str">
            <v>CRA MOVIL 2026</v>
          </cell>
          <cell r="F1314" t="str">
            <v>Transporte</v>
          </cell>
          <cell r="G1314">
            <v>2026</v>
          </cell>
          <cell r="H1314" t="str">
            <v>Q2</v>
          </cell>
          <cell r="I1314" t="str">
            <v>Nathaly Allcca</v>
          </cell>
          <cell r="J1314" t="str">
            <v>NO RFI</v>
          </cell>
          <cell r="K1314">
            <v>46066</v>
          </cell>
        </row>
        <row r="1315">
          <cell r="B1315" t="str">
            <v>TX_CRA2026_458</v>
          </cell>
          <cell r="C1315" t="str">
            <v>0104406_CP_Santa_Rosa_De_Ocona_0104407_CP_Agregador_Pajonal</v>
          </cell>
          <cell r="D1315" t="str">
            <v>M0850</v>
          </cell>
          <cell r="E1315" t="str">
            <v>CRA MOVIL 2026</v>
          </cell>
          <cell r="F1315" t="str">
            <v>Transporte</v>
          </cell>
          <cell r="G1315">
            <v>2026</v>
          </cell>
          <cell r="H1315" t="str">
            <v>Q2</v>
          </cell>
          <cell r="I1315" t="str">
            <v>Nathaly Allcca</v>
          </cell>
          <cell r="J1315" t="str">
            <v>NO RFI</v>
          </cell>
          <cell r="K1315">
            <v>46066</v>
          </cell>
        </row>
        <row r="1316">
          <cell r="B1316" t="str">
            <v>TX_CRA2026_459</v>
          </cell>
          <cell r="C1316" t="str">
            <v>0102284_IC_Villa_Mangos_Ica_0100820_IC_Cerro_Prieto</v>
          </cell>
          <cell r="D1316" t="str">
            <v>M0850</v>
          </cell>
          <cell r="E1316" t="str">
            <v>CRA MOVIL 2026</v>
          </cell>
          <cell r="F1316" t="str">
            <v>Transporte</v>
          </cell>
          <cell r="G1316">
            <v>2026</v>
          </cell>
          <cell r="H1316" t="str">
            <v>Q2</v>
          </cell>
          <cell r="I1316" t="str">
            <v>Nathaly Allcca</v>
          </cell>
          <cell r="J1316" t="str">
            <v>NO RFI</v>
          </cell>
          <cell r="K1316">
            <v>46066</v>
          </cell>
        </row>
        <row r="1317">
          <cell r="B1317" t="str">
            <v>TX_CRA2026_460</v>
          </cell>
          <cell r="C1317" t="str">
            <v>0106255_LM_Owens_Lurin_0100449_LM_Pq_Ind_Lurin</v>
          </cell>
          <cell r="D1317" t="str">
            <v>M0850</v>
          </cell>
          <cell r="E1317" t="str">
            <v>CRA MOVIL 2026</v>
          </cell>
          <cell r="F1317" t="str">
            <v>Transporte</v>
          </cell>
          <cell r="G1317">
            <v>2026</v>
          </cell>
          <cell r="H1317" t="str">
            <v>Q2</v>
          </cell>
          <cell r="I1317" t="str">
            <v>Nathaly Allcca</v>
          </cell>
          <cell r="J1317" t="str">
            <v>NO RFI</v>
          </cell>
          <cell r="K1317">
            <v>46066</v>
          </cell>
        </row>
        <row r="1318">
          <cell r="B1318" t="str">
            <v>TX_CRA2026_461</v>
          </cell>
          <cell r="C1318" t="str">
            <v>0100192_LM_Centro_Civico_0105774_LM_Lima_Centro</v>
          </cell>
          <cell r="D1318" t="str">
            <v>M0850</v>
          </cell>
          <cell r="E1318" t="str">
            <v>CRA MOVIL 2026</v>
          </cell>
          <cell r="F1318" t="str">
            <v>Transporte</v>
          </cell>
          <cell r="G1318">
            <v>2026</v>
          </cell>
          <cell r="H1318" t="str">
            <v>Q2</v>
          </cell>
          <cell r="I1318" t="str">
            <v>Nathaly Allcca</v>
          </cell>
          <cell r="J1318" t="str">
            <v>NO RFI</v>
          </cell>
          <cell r="K1318">
            <v>46066</v>
          </cell>
        </row>
        <row r="1319">
          <cell r="B1319" t="str">
            <v>TX_CRA2026_462</v>
          </cell>
          <cell r="C1319" t="str">
            <v>0104297_LI_Puerto_Morin_0100603_LI_Viru</v>
          </cell>
          <cell r="D1319" t="str">
            <v>M0850</v>
          </cell>
          <cell r="E1319" t="str">
            <v>CRA MOVIL 2026</v>
          </cell>
          <cell r="F1319" t="str">
            <v>Transporte</v>
          </cell>
          <cell r="G1319">
            <v>2026</v>
          </cell>
          <cell r="H1319" t="str">
            <v>Q2</v>
          </cell>
          <cell r="I1319" t="str">
            <v>Nathaly Allcca</v>
          </cell>
          <cell r="J1319" t="str">
            <v>NO RFI</v>
          </cell>
          <cell r="K1319">
            <v>46066</v>
          </cell>
        </row>
        <row r="1320">
          <cell r="B1320" t="str">
            <v>TX_CRA2026_463</v>
          </cell>
          <cell r="C1320" t="str">
            <v>0100265_LM_Huayna_Capac_0105058_LM_Mariano_Puma</v>
          </cell>
          <cell r="D1320" t="str">
            <v>M0850</v>
          </cell>
          <cell r="E1320" t="str">
            <v>CRA MOVIL 2026</v>
          </cell>
          <cell r="F1320" t="str">
            <v>Transporte</v>
          </cell>
          <cell r="G1320">
            <v>2026</v>
          </cell>
          <cell r="H1320" t="str">
            <v>Q2</v>
          </cell>
          <cell r="I1320" t="str">
            <v>Nathaly Allcca</v>
          </cell>
          <cell r="J1320" t="str">
            <v>NO RFI</v>
          </cell>
          <cell r="K1320">
            <v>46066</v>
          </cell>
        </row>
        <row r="1321">
          <cell r="B1321" t="str">
            <v>TX_CRA2026_464</v>
          </cell>
          <cell r="C1321" t="str">
            <v>0101609_JU_SanJeronimo_Tunan_0101608_JU_Hualhuas</v>
          </cell>
          <cell r="D1321" t="str">
            <v>M0850</v>
          </cell>
          <cell r="E1321" t="str">
            <v>CRA MOVIL 2026</v>
          </cell>
          <cell r="F1321" t="str">
            <v>Transporte</v>
          </cell>
          <cell r="G1321">
            <v>2026</v>
          </cell>
          <cell r="H1321" t="str">
            <v>Q2</v>
          </cell>
          <cell r="I1321" t="str">
            <v>Nathaly Allcca</v>
          </cell>
          <cell r="J1321" t="str">
            <v>NO RFI</v>
          </cell>
          <cell r="K1321">
            <v>46066</v>
          </cell>
        </row>
        <row r="1322">
          <cell r="B1322" t="str">
            <v>TX_CRA2026_465</v>
          </cell>
          <cell r="C1322" t="str">
            <v>0105559_LM_Energia_Y_Minas_R1_0100070_LM_Museo</v>
          </cell>
          <cell r="D1322" t="str">
            <v>M0850</v>
          </cell>
          <cell r="E1322" t="str">
            <v>CRA MOVIL 2026</v>
          </cell>
          <cell r="F1322" t="str">
            <v>Transporte</v>
          </cell>
          <cell r="G1322">
            <v>2026</v>
          </cell>
          <cell r="H1322" t="str">
            <v>Q2</v>
          </cell>
          <cell r="I1322" t="str">
            <v>Nathaly Allcca</v>
          </cell>
          <cell r="J1322" t="str">
            <v>NO RFI</v>
          </cell>
          <cell r="K1322">
            <v>46066</v>
          </cell>
        </row>
        <row r="1323">
          <cell r="B1323" t="str">
            <v>TX_CRA2026_466</v>
          </cell>
          <cell r="C1323" t="str">
            <v>0102025_LM_Santa_Emma_0100012_LM_Pando</v>
          </cell>
          <cell r="D1323" t="str">
            <v>M0850</v>
          </cell>
          <cell r="E1323" t="str">
            <v>CRA MOVIL 2026</v>
          </cell>
          <cell r="F1323" t="str">
            <v>Transporte</v>
          </cell>
          <cell r="G1323">
            <v>2026</v>
          </cell>
          <cell r="H1323" t="str">
            <v>Q2</v>
          </cell>
          <cell r="I1323" t="str">
            <v>Nathaly Allcca</v>
          </cell>
          <cell r="J1323" t="str">
            <v>NO RFI</v>
          </cell>
          <cell r="K1323">
            <v>46066</v>
          </cell>
        </row>
        <row r="1324">
          <cell r="B1324" t="str">
            <v>TX_CRA2026_467</v>
          </cell>
          <cell r="C1324" t="str">
            <v>0101681_JU_Estacion_Huancayo_0101603_JU_Huancas</v>
          </cell>
          <cell r="D1324" t="str">
            <v>M0850</v>
          </cell>
          <cell r="E1324" t="str">
            <v>CRA MOVIL 2026</v>
          </cell>
          <cell r="F1324" t="str">
            <v>Transporte</v>
          </cell>
          <cell r="G1324">
            <v>2026</v>
          </cell>
          <cell r="H1324" t="str">
            <v>Q2</v>
          </cell>
          <cell r="I1324" t="str">
            <v>Nathaly Allcca</v>
          </cell>
          <cell r="J1324" t="str">
            <v>NO RFI</v>
          </cell>
          <cell r="K1324">
            <v>46066</v>
          </cell>
        </row>
        <row r="1325">
          <cell r="B1325" t="str">
            <v>TX_CRA2026_468</v>
          </cell>
          <cell r="C1325" t="str">
            <v>0105758_LM_Cocharcas_De_Mayo_0100266_LM_Bausate</v>
          </cell>
          <cell r="D1325" t="str">
            <v>M0850</v>
          </cell>
          <cell r="E1325" t="str">
            <v>CRA MOVIL 2026</v>
          </cell>
          <cell r="F1325" t="str">
            <v>Transporte</v>
          </cell>
          <cell r="G1325">
            <v>2026</v>
          </cell>
          <cell r="H1325" t="str">
            <v>Q2</v>
          </cell>
          <cell r="I1325" t="str">
            <v>Nathaly Allcca</v>
          </cell>
          <cell r="J1325" t="str">
            <v>NO RFI</v>
          </cell>
          <cell r="K1325">
            <v>46066</v>
          </cell>
        </row>
        <row r="1326">
          <cell r="B1326" t="str">
            <v>TX_CRA2026_469</v>
          </cell>
          <cell r="C1326" t="str">
            <v>010302355_PI_Copeinca_R1_0101713_PI_Bayovar</v>
          </cell>
          <cell r="D1326" t="str">
            <v>M0850</v>
          </cell>
          <cell r="E1326" t="str">
            <v>CRA MOVIL 2026</v>
          </cell>
          <cell r="F1326" t="str">
            <v>Transporte</v>
          </cell>
          <cell r="G1326">
            <v>2026</v>
          </cell>
          <cell r="H1326" t="str">
            <v>Q2</v>
          </cell>
          <cell r="I1326" t="str">
            <v>Nathaly Allcca</v>
          </cell>
          <cell r="J1326" t="str">
            <v>NO RFI</v>
          </cell>
          <cell r="K1326">
            <v>46066</v>
          </cell>
        </row>
        <row r="1327">
          <cell r="B1327" t="str">
            <v>TX_CRA2026_470</v>
          </cell>
          <cell r="C1327" t="str">
            <v>0103292_PI_La_Bocana_0101733_PI_Parachique</v>
          </cell>
          <cell r="D1327" t="str">
            <v>M0850</v>
          </cell>
          <cell r="E1327" t="str">
            <v>CRA MOVIL 2026</v>
          </cell>
          <cell r="F1327" t="str">
            <v>Transporte</v>
          </cell>
          <cell r="G1327">
            <v>2026</v>
          </cell>
          <cell r="H1327" t="str">
            <v>Q2</v>
          </cell>
          <cell r="I1327" t="str">
            <v>Nathaly Allcca</v>
          </cell>
          <cell r="J1327" t="str">
            <v>NO RFI</v>
          </cell>
          <cell r="K1327">
            <v>46066</v>
          </cell>
        </row>
        <row r="1328">
          <cell r="B1328" t="str">
            <v>TX_CRA2026_471</v>
          </cell>
          <cell r="C1328" t="str">
            <v>0103049_JU_Cochas_Chico_0101657_JU_Holanda</v>
          </cell>
          <cell r="D1328" t="str">
            <v>M0850</v>
          </cell>
          <cell r="E1328" t="str">
            <v>CRA MOVIL 2026</v>
          </cell>
          <cell r="F1328" t="str">
            <v>Transporte</v>
          </cell>
          <cell r="G1328">
            <v>2026</v>
          </cell>
          <cell r="H1328" t="str">
            <v>Q2</v>
          </cell>
          <cell r="I1328" t="str">
            <v>Nathaly Allcca</v>
          </cell>
          <cell r="J1328" t="str">
            <v>NO RFI</v>
          </cell>
          <cell r="K1328">
            <v>46066</v>
          </cell>
        </row>
        <row r="1329">
          <cell r="B1329" t="str">
            <v>TX_CRA2026_472</v>
          </cell>
          <cell r="C1329" t="str">
            <v>0104230_LI_Chiclin_0100613_LI_Chicama</v>
          </cell>
          <cell r="D1329" t="str">
            <v>M0850</v>
          </cell>
          <cell r="E1329" t="str">
            <v>CRA MOVIL 2026</v>
          </cell>
          <cell r="F1329" t="str">
            <v>Transporte</v>
          </cell>
          <cell r="G1329">
            <v>2026</v>
          </cell>
          <cell r="H1329" t="str">
            <v>Q2</v>
          </cell>
          <cell r="I1329" t="str">
            <v>Nathaly Allcca</v>
          </cell>
          <cell r="J1329" t="str">
            <v>NO RFI</v>
          </cell>
          <cell r="K1329">
            <v>46066</v>
          </cell>
        </row>
        <row r="1330">
          <cell r="B1330" t="str">
            <v>TX_CRA2026_473</v>
          </cell>
          <cell r="C1330" t="str">
            <v>010254059_LM_PedroSayan_0100385_LM_Barranca</v>
          </cell>
          <cell r="D1330" t="str">
            <v>M0850</v>
          </cell>
          <cell r="E1330" t="str">
            <v>CRA MOVIL 2026</v>
          </cell>
          <cell r="F1330" t="str">
            <v>Transporte</v>
          </cell>
          <cell r="G1330">
            <v>2026</v>
          </cell>
          <cell r="H1330" t="str">
            <v>Q2</v>
          </cell>
          <cell r="I1330" t="str">
            <v>Nathaly Allcca</v>
          </cell>
          <cell r="J1330" t="str">
            <v>NO RFI</v>
          </cell>
          <cell r="K1330">
            <v>46066</v>
          </cell>
        </row>
        <row r="1331">
          <cell r="B1331" t="str">
            <v>TX_CRA2026_474</v>
          </cell>
          <cell r="C1331" t="str">
            <v>0100587_LM_Quilmana_Pueblo_0100401_LM_Quilmana</v>
          </cell>
          <cell r="D1331" t="str">
            <v>M0850</v>
          </cell>
          <cell r="E1331" t="str">
            <v>CRA MOVIL 2026</v>
          </cell>
          <cell r="F1331" t="str">
            <v>Transporte</v>
          </cell>
          <cell r="G1331">
            <v>2026</v>
          </cell>
          <cell r="H1331" t="str">
            <v>Q2</v>
          </cell>
          <cell r="I1331" t="str">
            <v>Nathaly Allcca</v>
          </cell>
          <cell r="J1331" t="str">
            <v>NO RFI</v>
          </cell>
          <cell r="K1331">
            <v>46066</v>
          </cell>
        </row>
        <row r="1332">
          <cell r="B1332" t="str">
            <v>TX_CRA2026_475</v>
          </cell>
          <cell r="C1332" t="str">
            <v>0102012_AN_Casma_0100706_AN_Puerto_Casma</v>
          </cell>
          <cell r="D1332" t="str">
            <v>M0850</v>
          </cell>
          <cell r="E1332" t="str">
            <v>CRA MOVIL 2026</v>
          </cell>
          <cell r="F1332" t="str">
            <v>Transporte</v>
          </cell>
          <cell r="G1332">
            <v>2026</v>
          </cell>
          <cell r="H1332" t="str">
            <v>Q2</v>
          </cell>
          <cell r="I1332" t="str">
            <v>Nathaly Allcca</v>
          </cell>
          <cell r="J1332" t="str">
            <v>NO RFI</v>
          </cell>
          <cell r="K1332">
            <v>46066</v>
          </cell>
        </row>
        <row r="1333">
          <cell r="B1333" t="str">
            <v>TX_CRA2026_476</v>
          </cell>
          <cell r="C1333" t="str">
            <v>0100400_LM_Pampa_Melchorita_0100399_LM_Pampa_Clarita</v>
          </cell>
          <cell r="D1333" t="str">
            <v>M0850</v>
          </cell>
          <cell r="E1333" t="str">
            <v>CRA MOVIL 2026</v>
          </cell>
          <cell r="F1333" t="str">
            <v>Transporte</v>
          </cell>
          <cell r="G1333">
            <v>2026</v>
          </cell>
          <cell r="H1333" t="str">
            <v>Q2</v>
          </cell>
          <cell r="I1333" t="str">
            <v>Nathaly Allcca</v>
          </cell>
          <cell r="J1333" t="str">
            <v>NO RFI</v>
          </cell>
          <cell r="K1333">
            <v>46066</v>
          </cell>
        </row>
        <row r="1334">
          <cell r="B1334" t="str">
            <v>TX_CRA2026_477</v>
          </cell>
          <cell r="C1334" t="str">
            <v>0102378_SM_Soritor_0102361_SM_Rioja</v>
          </cell>
          <cell r="D1334" t="str">
            <v>M0850</v>
          </cell>
          <cell r="E1334" t="str">
            <v>CRA MOVIL 2026</v>
          </cell>
          <cell r="F1334" t="str">
            <v>Transporte</v>
          </cell>
          <cell r="G1334">
            <v>2026</v>
          </cell>
          <cell r="H1334" t="str">
            <v>Q2</v>
          </cell>
          <cell r="I1334" t="str">
            <v>Nathaly Allcca</v>
          </cell>
          <cell r="J1334" t="str">
            <v>NO RFI</v>
          </cell>
          <cell r="K1334">
            <v>46066</v>
          </cell>
        </row>
        <row r="1335">
          <cell r="B1335" t="str">
            <v>TX_CRA2026_478</v>
          </cell>
          <cell r="C1335" t="str">
            <v>010251024_LM_Los_Arenales_Barranca_0100385_LM_Barranca</v>
          </cell>
          <cell r="D1335" t="str">
            <v>M0850</v>
          </cell>
          <cell r="E1335" t="str">
            <v>CRA MOVIL 2026</v>
          </cell>
          <cell r="F1335" t="str">
            <v>Transporte</v>
          </cell>
          <cell r="G1335">
            <v>2026</v>
          </cell>
          <cell r="H1335" t="str">
            <v>Q2</v>
          </cell>
          <cell r="I1335" t="str">
            <v>Nathaly Allcca</v>
          </cell>
          <cell r="J1335" t="str">
            <v>NO RFI</v>
          </cell>
          <cell r="K1335">
            <v>46066</v>
          </cell>
        </row>
        <row r="1336">
          <cell r="B1336" t="str">
            <v>TX_CRA2026_479</v>
          </cell>
          <cell r="C1336" t="str">
            <v>0104259_JU_Punto_2_Chinalco_0103034_JU_Quilla</v>
          </cell>
          <cell r="D1336" t="str">
            <v>M0850</v>
          </cell>
          <cell r="E1336" t="str">
            <v>CRA MOVIL 2026</v>
          </cell>
          <cell r="F1336" t="str">
            <v>Transporte</v>
          </cell>
          <cell r="G1336">
            <v>2026</v>
          </cell>
          <cell r="H1336" t="str">
            <v>Q2</v>
          </cell>
          <cell r="I1336" t="str">
            <v>Nathaly Allcca</v>
          </cell>
          <cell r="J1336" t="str">
            <v>NO RFI</v>
          </cell>
          <cell r="K1336">
            <v>46066</v>
          </cell>
        </row>
        <row r="1337">
          <cell r="B1337" t="str">
            <v>TX_CRA2026_480</v>
          </cell>
          <cell r="C1337" t="str">
            <v>0100707_AN_Tortugas_0100708_AN_La_Cumbre</v>
          </cell>
          <cell r="D1337" t="str">
            <v>M0850</v>
          </cell>
          <cell r="E1337" t="str">
            <v>CRA MOVIL 2026</v>
          </cell>
          <cell r="F1337" t="str">
            <v>Transporte</v>
          </cell>
          <cell r="G1337">
            <v>2026</v>
          </cell>
          <cell r="H1337" t="str">
            <v>Q2</v>
          </cell>
          <cell r="I1337" t="str">
            <v>Nathaly Allcca</v>
          </cell>
          <cell r="J1337" t="str">
            <v>NO RFI</v>
          </cell>
          <cell r="K1337">
            <v>46066</v>
          </cell>
        </row>
        <row r="1338">
          <cell r="B1338" t="str">
            <v>TX_CRA2026_481</v>
          </cell>
          <cell r="C1338" t="str">
            <v>010160215_CA_Shitacucho_0104748_CA_Edelmira</v>
          </cell>
          <cell r="D1338" t="str">
            <v>M0850</v>
          </cell>
          <cell r="E1338" t="str">
            <v>CRA MOVIL 2026</v>
          </cell>
          <cell r="F1338" t="str">
            <v>Transporte</v>
          </cell>
          <cell r="G1338">
            <v>2026</v>
          </cell>
          <cell r="H1338" t="str">
            <v>Q2</v>
          </cell>
          <cell r="I1338" t="str">
            <v>Nathaly Allcca</v>
          </cell>
          <cell r="J1338" t="str">
            <v>NO RFI</v>
          </cell>
          <cell r="K1338">
            <v>46066</v>
          </cell>
        </row>
        <row r="1339">
          <cell r="B1339" t="str">
            <v>TX_CRA2026_482</v>
          </cell>
          <cell r="C1339" t="str">
            <v>0104748_CA_Edelmira_0104734_CA_El_Lirio</v>
          </cell>
          <cell r="D1339" t="str">
            <v>M0850</v>
          </cell>
          <cell r="E1339" t="str">
            <v>CRA MOVIL 2026</v>
          </cell>
          <cell r="F1339" t="str">
            <v>Transporte</v>
          </cell>
          <cell r="G1339">
            <v>2026</v>
          </cell>
          <cell r="H1339" t="str">
            <v>Q2</v>
          </cell>
          <cell r="I1339" t="str">
            <v>Nathaly Allcca</v>
          </cell>
          <cell r="J1339" t="str">
            <v>NO RFI</v>
          </cell>
          <cell r="K1339">
            <v>46066</v>
          </cell>
        </row>
        <row r="1340">
          <cell r="B1340" t="str">
            <v>TX_CRA2026_483</v>
          </cell>
          <cell r="C1340" t="str">
            <v>0100615_LI_Pacasmayo to 0104207_LI_Playa_Pacasmayo</v>
          </cell>
          <cell r="D1340" t="str">
            <v>M0850</v>
          </cell>
          <cell r="E1340" t="str">
            <v>CRA MOVIL 2026</v>
          </cell>
          <cell r="F1340" t="str">
            <v>Transporte</v>
          </cell>
          <cell r="G1340">
            <v>2026</v>
          </cell>
          <cell r="H1340" t="str">
            <v>Q2</v>
          </cell>
          <cell r="I1340" t="str">
            <v>Nathaly Allcca</v>
          </cell>
          <cell r="J1340" t="str">
            <v>NO RFI</v>
          </cell>
          <cell r="K1340">
            <v>46066</v>
          </cell>
        </row>
        <row r="1341">
          <cell r="B1341" t="str">
            <v>TX_CRA2026_484</v>
          </cell>
          <cell r="C1341" t="str">
            <v>0105642_LM_Civico_Vitarte to 0105639_LM_Concepcion_Vitarte</v>
          </cell>
          <cell r="D1341" t="str">
            <v>M0850</v>
          </cell>
          <cell r="E1341" t="str">
            <v>CRA MOVIL 2026</v>
          </cell>
          <cell r="F1341" t="str">
            <v>Transporte</v>
          </cell>
          <cell r="G1341">
            <v>2026</v>
          </cell>
          <cell r="H1341" t="str">
            <v>Q2</v>
          </cell>
          <cell r="I1341" t="str">
            <v>Nathaly Allcca</v>
          </cell>
          <cell r="J1341" t="str">
            <v>NO RFI</v>
          </cell>
          <cell r="K1341">
            <v>46066</v>
          </cell>
        </row>
        <row r="1342">
          <cell r="B1342" t="str">
            <v>TX_CRA2026_485</v>
          </cell>
          <cell r="C1342" t="str">
            <v>0100315_LM_Santa_Eulalia to 010254046_LM_LibertadChosica</v>
          </cell>
          <cell r="D1342" t="str">
            <v>M0850</v>
          </cell>
          <cell r="E1342" t="str">
            <v>CRA MOVIL 2026</v>
          </cell>
          <cell r="F1342" t="str">
            <v>Transporte</v>
          </cell>
          <cell r="G1342">
            <v>2026</v>
          </cell>
          <cell r="H1342" t="str">
            <v>Q2</v>
          </cell>
          <cell r="I1342" t="str">
            <v>Nathaly Allcca</v>
          </cell>
          <cell r="J1342" t="str">
            <v>NO RFI</v>
          </cell>
          <cell r="K1342">
            <v>46066</v>
          </cell>
        </row>
        <row r="1343">
          <cell r="B1343" t="str">
            <v>TX_CRA2026_486</v>
          </cell>
          <cell r="C1343" t="str">
            <v>0100607_LI_Husares_de_Junin to 010232426_LI_Gran_Chimu_R1</v>
          </cell>
          <cell r="D1343" t="str">
            <v>M0850</v>
          </cell>
          <cell r="E1343" t="str">
            <v>CRA MOVIL 2026</v>
          </cell>
          <cell r="F1343" t="str">
            <v>Transporte</v>
          </cell>
          <cell r="G1343">
            <v>2026</v>
          </cell>
          <cell r="H1343" t="str">
            <v>Q2</v>
          </cell>
          <cell r="I1343" t="str">
            <v>Nathaly Allcca</v>
          </cell>
          <cell r="J1343" t="str">
            <v>NO RFI</v>
          </cell>
          <cell r="K1343">
            <v>46066</v>
          </cell>
        </row>
        <row r="1344">
          <cell r="B1344" t="str">
            <v>TX_CRA2026_487</v>
          </cell>
          <cell r="C1344" t="str">
            <v>0104244_LI_Huamachuco to 010230040_LI_Carrion_Salvador</v>
          </cell>
          <cell r="D1344" t="str">
            <v>M0850</v>
          </cell>
          <cell r="E1344" t="str">
            <v>CRA MOVIL 2026</v>
          </cell>
          <cell r="F1344" t="str">
            <v>Transporte</v>
          </cell>
          <cell r="G1344">
            <v>2026</v>
          </cell>
          <cell r="H1344" t="str">
            <v>Q2</v>
          </cell>
          <cell r="I1344" t="str">
            <v>Nathaly Allcca</v>
          </cell>
          <cell r="J1344" t="str">
            <v>NO RFI</v>
          </cell>
          <cell r="K1344">
            <v>46066</v>
          </cell>
        </row>
        <row r="1345">
          <cell r="B1345" t="str">
            <v>TX_CRA2026_488</v>
          </cell>
          <cell r="C1345" t="str">
            <v>0100015_LM_Huayucari to 0105647_LM_Protocolo_Janeiro</v>
          </cell>
          <cell r="D1345" t="str">
            <v>M0850</v>
          </cell>
          <cell r="E1345" t="str">
            <v>CRA MOVIL 2026</v>
          </cell>
          <cell r="F1345" t="str">
            <v>Transporte</v>
          </cell>
          <cell r="G1345">
            <v>2026</v>
          </cell>
          <cell r="H1345" t="str">
            <v>Q2</v>
          </cell>
          <cell r="I1345" t="str">
            <v>Nathaly Allcca</v>
          </cell>
          <cell r="J1345" t="str">
            <v>NO RFI</v>
          </cell>
          <cell r="K1345">
            <v>46066</v>
          </cell>
        </row>
        <row r="1346">
          <cell r="B1346" t="str">
            <v>TX_CRA2026_489</v>
          </cell>
          <cell r="C1346" t="str">
            <v>0105642_LM_Civico_Vitarte to 0105624_LM_El_Pueblo</v>
          </cell>
          <cell r="D1346" t="str">
            <v>M0850</v>
          </cell>
          <cell r="E1346" t="str">
            <v>CRA MOVIL 2026</v>
          </cell>
          <cell r="F1346" t="str">
            <v>Transporte</v>
          </cell>
          <cell r="G1346">
            <v>2026</v>
          </cell>
          <cell r="H1346" t="str">
            <v>Q2</v>
          </cell>
          <cell r="I1346" t="str">
            <v>Nathaly Allcca</v>
          </cell>
          <cell r="J1346" t="str">
            <v>NO RFI</v>
          </cell>
          <cell r="K1346">
            <v>46066</v>
          </cell>
        </row>
        <row r="1347">
          <cell r="B1347" t="str">
            <v>TX_CRA2026_490</v>
          </cell>
          <cell r="C1347" t="str">
            <v>0100315_LM_Santa_Eulalia to 0105164_LM_Valle_Del_Sol</v>
          </cell>
          <cell r="D1347" t="str">
            <v>M0850</v>
          </cell>
          <cell r="E1347" t="str">
            <v>CRA MOVIL 2026</v>
          </cell>
          <cell r="F1347" t="str">
            <v>Transporte</v>
          </cell>
          <cell r="G1347">
            <v>2026</v>
          </cell>
          <cell r="H1347" t="str">
            <v>Q2</v>
          </cell>
          <cell r="I1347" t="str">
            <v>Nathaly Allcca</v>
          </cell>
          <cell r="J1347" t="str">
            <v>NO RFI</v>
          </cell>
          <cell r="K1347">
            <v>46066</v>
          </cell>
        </row>
        <row r="1348">
          <cell r="B1348" t="str">
            <v>TX_CRA2026_491</v>
          </cell>
          <cell r="C1348" t="str">
            <v>0105642_LM_Civico_Vitarte to 0105105_LM_Manilsa</v>
          </cell>
          <cell r="D1348" t="str">
            <v>M0850</v>
          </cell>
          <cell r="E1348" t="str">
            <v>CRA MOVIL 2026</v>
          </cell>
          <cell r="F1348" t="str">
            <v>Transporte</v>
          </cell>
          <cell r="G1348">
            <v>2026</v>
          </cell>
          <cell r="H1348" t="str">
            <v>Q2</v>
          </cell>
          <cell r="I1348" t="str">
            <v>Nathaly Allcca</v>
          </cell>
          <cell r="J1348" t="str">
            <v>NO RFI</v>
          </cell>
          <cell r="K1348">
            <v>46066</v>
          </cell>
        </row>
        <row r="1349">
          <cell r="B1349" t="str">
            <v>TX_CRA2026_492</v>
          </cell>
          <cell r="C1349" t="str">
            <v>0100015_LM_Huayucari to 0105073_LM_Julio_Tello</v>
          </cell>
          <cell r="D1349" t="str">
            <v>M0850</v>
          </cell>
          <cell r="E1349" t="str">
            <v>CRA MOVIL 2026</v>
          </cell>
          <cell r="F1349" t="str">
            <v>Transporte</v>
          </cell>
          <cell r="G1349">
            <v>2026</v>
          </cell>
          <cell r="H1349" t="str">
            <v>Q2</v>
          </cell>
          <cell r="I1349" t="str">
            <v>Nathaly Allcca</v>
          </cell>
          <cell r="J1349" t="str">
            <v>NO RFI</v>
          </cell>
          <cell r="K1349">
            <v>46066</v>
          </cell>
        </row>
        <row r="1350">
          <cell r="B1350" t="str">
            <v>TX_CRA2026_493</v>
          </cell>
          <cell r="C1350" t="str">
            <v>0100635_LI_Moche_Pueblo to 0104705_LI_Huerta_Sun</v>
          </cell>
          <cell r="D1350" t="str">
            <v>M0850</v>
          </cell>
          <cell r="E1350" t="str">
            <v>CRA MOVIL 2026</v>
          </cell>
          <cell r="F1350" t="str">
            <v>Transporte</v>
          </cell>
          <cell r="G1350">
            <v>2026</v>
          </cell>
          <cell r="H1350" t="str">
            <v>Q2</v>
          </cell>
          <cell r="I1350" t="str">
            <v>Nathaly Allcca</v>
          </cell>
          <cell r="J1350" t="str">
            <v>NO RFI</v>
          </cell>
          <cell r="K1350">
            <v>46066</v>
          </cell>
        </row>
        <row r="1351">
          <cell r="B1351" t="str">
            <v>TX_CRA2026_494</v>
          </cell>
          <cell r="C1351" t="str">
            <v>0100606_LI_El_Alambre to 0104136_LI_Victor_Larco</v>
          </cell>
          <cell r="D1351" t="str">
            <v>M0850</v>
          </cell>
          <cell r="E1351" t="str">
            <v>CRA MOVIL 2026</v>
          </cell>
          <cell r="F1351" t="str">
            <v>Transporte</v>
          </cell>
          <cell r="G1351">
            <v>2026</v>
          </cell>
          <cell r="H1351" t="str">
            <v>Q2</v>
          </cell>
          <cell r="I1351" t="str">
            <v>Nathaly Allcca</v>
          </cell>
          <cell r="J1351" t="str">
            <v>NO RFI</v>
          </cell>
          <cell r="K1351">
            <v>46066</v>
          </cell>
        </row>
        <row r="1352">
          <cell r="B1352" t="str">
            <v>TX_CRA2026_495</v>
          </cell>
          <cell r="C1352" t="str">
            <v>0100232_LM_Rivadavia to 0102171_LM_Puruchuco</v>
          </cell>
          <cell r="D1352" t="str">
            <v>M0850</v>
          </cell>
          <cell r="E1352" t="str">
            <v>CRA MOVIL 2026</v>
          </cell>
          <cell r="F1352" t="str">
            <v>Transporte</v>
          </cell>
          <cell r="G1352">
            <v>2026</v>
          </cell>
          <cell r="H1352" t="str">
            <v>Q2</v>
          </cell>
          <cell r="I1352" t="str">
            <v>Nathaly Allcca</v>
          </cell>
          <cell r="J1352" t="str">
            <v>NO RFI</v>
          </cell>
          <cell r="K1352">
            <v>46066</v>
          </cell>
        </row>
        <row r="1353">
          <cell r="B1353" t="str">
            <v>TX_CRA2026_496</v>
          </cell>
          <cell r="C1353" t="str">
            <v>0100232_LM_Rivadavia to 0101329_LM_Recreo_Acobamba</v>
          </cell>
          <cell r="D1353" t="str">
            <v>M0850</v>
          </cell>
          <cell r="E1353" t="str">
            <v>CRA MOVIL 2026</v>
          </cell>
          <cell r="F1353" t="str">
            <v>Transporte</v>
          </cell>
          <cell r="G1353">
            <v>2026</v>
          </cell>
          <cell r="H1353" t="str">
            <v>Q2</v>
          </cell>
          <cell r="I1353" t="str">
            <v>Nathaly Allcca</v>
          </cell>
          <cell r="J1353" t="str">
            <v>NO RFI</v>
          </cell>
          <cell r="K1353">
            <v>46066</v>
          </cell>
        </row>
        <row r="1354">
          <cell r="B1354" t="str">
            <v>TX_CRA2026_497</v>
          </cell>
          <cell r="C1354" t="str">
            <v>0105642_LM_Civico_Vitarte to 0100485_LM_Valle_Rimac</v>
          </cell>
          <cell r="D1354" t="str">
            <v>M0850</v>
          </cell>
          <cell r="E1354" t="str">
            <v>CRA MOVIL 2026</v>
          </cell>
          <cell r="F1354" t="str">
            <v>Transporte</v>
          </cell>
          <cell r="G1354">
            <v>2026</v>
          </cell>
          <cell r="H1354" t="str">
            <v>Q2</v>
          </cell>
          <cell r="I1354" t="str">
            <v>Nathaly Allcca</v>
          </cell>
          <cell r="J1354" t="str">
            <v>NO RFI</v>
          </cell>
          <cell r="K1354">
            <v>46066</v>
          </cell>
        </row>
        <row r="1355">
          <cell r="B1355" t="str">
            <v>TX_CRA2026_498</v>
          </cell>
          <cell r="C1355" t="str">
            <v>0100229_LM_Cajamarquilla to 0100339_LM_Refineria_Cajamarquilla</v>
          </cell>
          <cell r="D1355" t="str">
            <v>M0850</v>
          </cell>
          <cell r="E1355" t="str">
            <v>CRA MOVIL 2026</v>
          </cell>
          <cell r="F1355" t="str">
            <v>Transporte</v>
          </cell>
          <cell r="G1355">
            <v>2026</v>
          </cell>
          <cell r="H1355" t="str">
            <v>Q2</v>
          </cell>
          <cell r="I1355" t="str">
            <v>Nathaly Allcca</v>
          </cell>
          <cell r="J1355" t="str">
            <v>NO RFI</v>
          </cell>
          <cell r="K1355">
            <v>46066</v>
          </cell>
        </row>
        <row r="1356">
          <cell r="B1356" t="str">
            <v>TX_CRA2026_499</v>
          </cell>
          <cell r="C1356" t="str">
            <v>0100005_LM_SMPorres to 0105676_LM_San_Alberto</v>
          </cell>
          <cell r="D1356" t="str">
            <v>M0850</v>
          </cell>
          <cell r="E1356" t="str">
            <v>CRA MOVIL 2026</v>
          </cell>
          <cell r="F1356" t="str">
            <v>Transporte</v>
          </cell>
          <cell r="G1356">
            <v>2026</v>
          </cell>
          <cell r="H1356" t="str">
            <v>Q2</v>
          </cell>
          <cell r="I1356" t="str">
            <v>Nathaly Allcca</v>
          </cell>
          <cell r="J1356" t="str">
            <v>NO RFI</v>
          </cell>
          <cell r="K1356">
            <v>46066</v>
          </cell>
        </row>
        <row r="1357">
          <cell r="B1357" t="str">
            <v>TX_CRA2026_500</v>
          </cell>
          <cell r="C1357" t="str">
            <v>0105657_LM_Central_Independenc to 0105410_LM_Huaca_Uni</v>
          </cell>
          <cell r="D1357" t="str">
            <v>M0850</v>
          </cell>
          <cell r="E1357" t="str">
            <v>CRA MOVIL 2026</v>
          </cell>
          <cell r="F1357" t="str">
            <v>Transporte</v>
          </cell>
          <cell r="G1357">
            <v>2026</v>
          </cell>
          <cell r="H1357" t="str">
            <v>Q2</v>
          </cell>
          <cell r="I1357" t="str">
            <v>Nathaly Allcca</v>
          </cell>
          <cell r="J1357" t="str">
            <v>NO RFI</v>
          </cell>
          <cell r="K1357">
            <v>46066</v>
          </cell>
        </row>
        <row r="1358">
          <cell r="B1358" t="str">
            <v>TX_CRA2026_501</v>
          </cell>
          <cell r="C1358" t="str">
            <v>0100149_LM_Trapiche to 0105395_LM_Av_Paucartambo</v>
          </cell>
          <cell r="D1358" t="str">
            <v>M0850</v>
          </cell>
          <cell r="E1358" t="str">
            <v>CRA MOVIL 2026</v>
          </cell>
          <cell r="F1358" t="str">
            <v>Transporte</v>
          </cell>
          <cell r="G1358">
            <v>2026</v>
          </cell>
          <cell r="H1358" t="str">
            <v>Q2</v>
          </cell>
          <cell r="I1358" t="str">
            <v>Nathaly Allcca</v>
          </cell>
          <cell r="J1358" t="str">
            <v>NO RFI</v>
          </cell>
          <cell r="K1358">
            <v>46066</v>
          </cell>
        </row>
        <row r="1359">
          <cell r="B1359" t="str">
            <v>TX_CRA2026_502</v>
          </cell>
          <cell r="C1359" t="str">
            <v>0100503_LM_Mun_Los_Olivos to 0105276_LM_Arizona</v>
          </cell>
          <cell r="D1359" t="str">
            <v>M0850</v>
          </cell>
          <cell r="E1359" t="str">
            <v>CRA MOVIL 2026</v>
          </cell>
          <cell r="F1359" t="str">
            <v>Transporte</v>
          </cell>
          <cell r="G1359">
            <v>2026</v>
          </cell>
          <cell r="H1359" t="str">
            <v>Q2</v>
          </cell>
          <cell r="I1359" t="str">
            <v>Nathaly Allcca</v>
          </cell>
          <cell r="J1359" t="str">
            <v>NO RFI</v>
          </cell>
          <cell r="K1359">
            <v>46066</v>
          </cell>
        </row>
        <row r="1360">
          <cell r="B1360" t="str">
            <v>TX_CRA2026_503</v>
          </cell>
          <cell r="C1360" t="str">
            <v>0100002_LM_Nuevo_Comas to 0104746_LM_Jr_Alvarado</v>
          </cell>
          <cell r="D1360" t="str">
            <v>M0850</v>
          </cell>
          <cell r="E1360" t="str">
            <v>CRA MOVIL 2026</v>
          </cell>
          <cell r="F1360" t="str">
            <v>Transporte</v>
          </cell>
          <cell r="G1360">
            <v>2026</v>
          </cell>
          <cell r="H1360" t="str">
            <v>Q2</v>
          </cell>
          <cell r="I1360" t="str">
            <v>Nathaly Allcca</v>
          </cell>
          <cell r="J1360" t="str">
            <v>NO RFI</v>
          </cell>
          <cell r="K1360">
            <v>46066</v>
          </cell>
        </row>
        <row r="1361">
          <cell r="B1361" t="str">
            <v>TX_CRA2026_504</v>
          </cell>
          <cell r="C1361" t="str">
            <v>0101149_LM_Nuevo_Caqueta to 0104503_LM_Lazareto</v>
          </cell>
          <cell r="D1361" t="str">
            <v>M0850</v>
          </cell>
          <cell r="E1361" t="str">
            <v>CRA MOVIL 2026</v>
          </cell>
          <cell r="F1361" t="str">
            <v>Transporte</v>
          </cell>
          <cell r="G1361">
            <v>2026</v>
          </cell>
          <cell r="H1361" t="str">
            <v>Q2</v>
          </cell>
          <cell r="I1361" t="str">
            <v>Nathaly Allcca</v>
          </cell>
          <cell r="J1361" t="str">
            <v>NO RFI</v>
          </cell>
          <cell r="K1361">
            <v>46066</v>
          </cell>
        </row>
        <row r="1362">
          <cell r="B1362" t="str">
            <v>TX_CRA2026_505</v>
          </cell>
          <cell r="C1362" t="str">
            <v>0101903_LO_Municipalidad_Belen to 0103464_LO_Corredor_Belen</v>
          </cell>
          <cell r="D1362" t="str">
            <v>M0850</v>
          </cell>
          <cell r="E1362" t="str">
            <v>CRA MOVIL 2026</v>
          </cell>
          <cell r="F1362" t="str">
            <v>Transporte</v>
          </cell>
          <cell r="G1362">
            <v>2026</v>
          </cell>
          <cell r="H1362" t="str">
            <v>Q2</v>
          </cell>
          <cell r="I1362" t="str">
            <v>Nathaly Allcca</v>
          </cell>
          <cell r="J1362" t="str">
            <v>NO RFI</v>
          </cell>
          <cell r="K1362">
            <v>46066</v>
          </cell>
        </row>
        <row r="1363">
          <cell r="B1363" t="str">
            <v>TX_CRA2026_506</v>
          </cell>
          <cell r="C1363" t="str">
            <v>0101002_LA_Reque to 010243984_LA_Ferre</v>
          </cell>
          <cell r="D1363" t="str">
            <v>M0850</v>
          </cell>
          <cell r="E1363" t="str">
            <v>CRA MOVIL 2026</v>
          </cell>
          <cell r="F1363" t="str">
            <v>Transporte</v>
          </cell>
          <cell r="G1363">
            <v>2026</v>
          </cell>
          <cell r="H1363" t="str">
            <v>Q2</v>
          </cell>
          <cell r="I1363" t="str">
            <v>Nathaly Allcca</v>
          </cell>
          <cell r="J1363" t="str">
            <v>NO RFI</v>
          </cell>
          <cell r="K1363">
            <v>46066</v>
          </cell>
        </row>
        <row r="1364">
          <cell r="B1364" t="str">
            <v>TX_CRA2026_507</v>
          </cell>
          <cell r="C1364" t="str">
            <v>0101903_LO_Municipalidad_Belen to 0101989_LO_San_Juan_Bautista</v>
          </cell>
          <cell r="D1364" t="str">
            <v>M0850</v>
          </cell>
          <cell r="E1364" t="str">
            <v>CRA MOVIL 2026</v>
          </cell>
          <cell r="F1364" t="str">
            <v>Transporte</v>
          </cell>
          <cell r="G1364">
            <v>2026</v>
          </cell>
          <cell r="H1364" t="str">
            <v>Q2</v>
          </cell>
          <cell r="I1364" t="str">
            <v>Nathaly Allcca</v>
          </cell>
          <cell r="J1364" t="str">
            <v>NO RFI</v>
          </cell>
          <cell r="K1364">
            <v>46066</v>
          </cell>
        </row>
        <row r="1365">
          <cell r="B1365" t="str">
            <v>TX_CRA2026_508</v>
          </cell>
          <cell r="C1365" t="str">
            <v>0101903_LO_Municipalidad_Belen to 0101920_LO_Villa_Iquitos</v>
          </cell>
          <cell r="D1365" t="str">
            <v>M0850</v>
          </cell>
          <cell r="E1365" t="str">
            <v>CRA MOVIL 2026</v>
          </cell>
          <cell r="F1365" t="str">
            <v>Transporte</v>
          </cell>
          <cell r="G1365">
            <v>2026</v>
          </cell>
          <cell r="H1365" t="str">
            <v>Q2</v>
          </cell>
          <cell r="I1365" t="str">
            <v>Nathaly Allcca</v>
          </cell>
          <cell r="J1365" t="str">
            <v>NO RFI</v>
          </cell>
          <cell r="K1365">
            <v>46066</v>
          </cell>
        </row>
        <row r="1366">
          <cell r="B1366" t="str">
            <v>TX_CRA2026_509</v>
          </cell>
          <cell r="C1366" t="str">
            <v>0100201_LM_Mega_Plaza to 0101162_LM_Mega_Pacifico</v>
          </cell>
          <cell r="D1366" t="str">
            <v>M0850</v>
          </cell>
          <cell r="E1366" t="str">
            <v>CRA MOVIL 2026</v>
          </cell>
          <cell r="F1366" t="str">
            <v>Transporte</v>
          </cell>
          <cell r="G1366">
            <v>2026</v>
          </cell>
          <cell r="H1366" t="str">
            <v>Q2</v>
          </cell>
          <cell r="I1366" t="str">
            <v>Nathaly Allcca</v>
          </cell>
          <cell r="J1366" t="str">
            <v>NO RFI</v>
          </cell>
          <cell r="K1366">
            <v>46066</v>
          </cell>
        </row>
        <row r="1367">
          <cell r="B1367" t="str">
            <v>TX_CRA2026_510</v>
          </cell>
          <cell r="C1367" t="str">
            <v>0101004_LA_Chiclayo_Centro to 0101068_LA_Juan_Itureregui</v>
          </cell>
          <cell r="D1367" t="str">
            <v>M0850</v>
          </cell>
          <cell r="E1367" t="str">
            <v>CRA MOVIL 2026</v>
          </cell>
          <cell r="F1367" t="str">
            <v>Transporte</v>
          </cell>
          <cell r="G1367">
            <v>2026</v>
          </cell>
          <cell r="H1367" t="str">
            <v>Q2</v>
          </cell>
          <cell r="I1367" t="str">
            <v>Nathaly Allcca</v>
          </cell>
          <cell r="J1367" t="str">
            <v>NO RFI</v>
          </cell>
          <cell r="K1367">
            <v>46066</v>
          </cell>
        </row>
        <row r="1368">
          <cell r="B1368" t="str">
            <v>TX_CRA2026_511</v>
          </cell>
          <cell r="C1368" t="str">
            <v>0101008_LA_Moshoqueque to 0101047_LA_Nicaragua</v>
          </cell>
          <cell r="D1368" t="str">
            <v>M0850</v>
          </cell>
          <cell r="E1368" t="str">
            <v>CRA MOVIL 2026</v>
          </cell>
          <cell r="F1368" t="str">
            <v>Transporte</v>
          </cell>
          <cell r="G1368">
            <v>2026</v>
          </cell>
          <cell r="H1368" t="str">
            <v>Q2</v>
          </cell>
          <cell r="I1368" t="str">
            <v>Nathaly Allcca</v>
          </cell>
          <cell r="J1368" t="str">
            <v>NO RFI</v>
          </cell>
          <cell r="K1368">
            <v>46066</v>
          </cell>
        </row>
        <row r="1369">
          <cell r="B1369" t="str">
            <v>TX_CRA2026_512</v>
          </cell>
          <cell r="C1369" t="str">
            <v>0105657_LM_Central_Independenc to 0100100_LM_Bartolome</v>
          </cell>
          <cell r="D1369" t="str">
            <v>M0850</v>
          </cell>
          <cell r="E1369" t="str">
            <v>CRA MOVIL 2026</v>
          </cell>
          <cell r="F1369" t="str">
            <v>Transporte</v>
          </cell>
          <cell r="G1369">
            <v>2026</v>
          </cell>
          <cell r="H1369" t="str">
            <v>Q2</v>
          </cell>
          <cell r="I1369" t="str">
            <v>Nathaly Allcca</v>
          </cell>
          <cell r="J1369" t="str">
            <v>NO RFI</v>
          </cell>
          <cell r="K1369">
            <v>46066</v>
          </cell>
        </row>
        <row r="1370">
          <cell r="B1370" t="str">
            <v>TX_CRA2026_513</v>
          </cell>
          <cell r="C1370" t="str">
            <v>0100094_LM_El_Pino to 0106090_LM_Domingo_Nieto</v>
          </cell>
          <cell r="D1370" t="str">
            <v>M0850</v>
          </cell>
          <cell r="E1370" t="str">
            <v>CRA MOVIL 2026</v>
          </cell>
          <cell r="F1370" t="str">
            <v>Transporte</v>
          </cell>
          <cell r="G1370">
            <v>2026</v>
          </cell>
          <cell r="H1370" t="str">
            <v>Q2</v>
          </cell>
          <cell r="I1370" t="str">
            <v>Nathaly Allcca</v>
          </cell>
          <cell r="J1370" t="str">
            <v>NO RFI</v>
          </cell>
          <cell r="K1370">
            <v>46066</v>
          </cell>
        </row>
        <row r="1371">
          <cell r="B1371" t="str">
            <v>TX_CRA2026_514</v>
          </cell>
          <cell r="C1371" t="str">
            <v>0100093_LM_Monterrico_Sur to 0105834_LM_Loma_Amarilla</v>
          </cell>
          <cell r="D1371" t="str">
            <v>M0850</v>
          </cell>
          <cell r="E1371" t="str">
            <v>CRA MOVIL 2026</v>
          </cell>
          <cell r="F1371" t="str">
            <v>Transporte</v>
          </cell>
          <cell r="G1371">
            <v>2026</v>
          </cell>
          <cell r="H1371" t="str">
            <v>Q2</v>
          </cell>
          <cell r="I1371" t="str">
            <v>Nathaly Allcca</v>
          </cell>
          <cell r="J1371" t="str">
            <v>NO RFI</v>
          </cell>
          <cell r="K1371">
            <v>46066</v>
          </cell>
        </row>
        <row r="1372">
          <cell r="B1372" t="str">
            <v>TX_CRA2026_515</v>
          </cell>
          <cell r="C1372" t="str">
            <v>0100054_LM_Curie to 0105645_LM_Grumete_Medina</v>
          </cell>
          <cell r="D1372" t="str">
            <v>M0850</v>
          </cell>
          <cell r="E1372" t="str">
            <v>CRA MOVIL 2026</v>
          </cell>
          <cell r="F1372" t="str">
            <v>Transporte</v>
          </cell>
          <cell r="G1372">
            <v>2026</v>
          </cell>
          <cell r="H1372" t="str">
            <v>Q2</v>
          </cell>
          <cell r="I1372" t="str">
            <v>Nathaly Allcca</v>
          </cell>
          <cell r="J1372" t="str">
            <v>NO RFI</v>
          </cell>
          <cell r="K1372">
            <v>46066</v>
          </cell>
        </row>
        <row r="1373">
          <cell r="B1373" t="str">
            <v>TX_CRA2026_516</v>
          </cell>
          <cell r="C1373" t="str">
            <v>0100142_LM_Caja_de_Agua to 0105543_LM_Ladera_Caja_De_Agua</v>
          </cell>
          <cell r="D1373" t="str">
            <v>M0850</v>
          </cell>
          <cell r="E1373" t="str">
            <v>CRA MOVIL 2026</v>
          </cell>
          <cell r="F1373" t="str">
            <v>Transporte</v>
          </cell>
          <cell r="G1373">
            <v>2026</v>
          </cell>
          <cell r="H1373" t="str">
            <v>Q2</v>
          </cell>
          <cell r="I1373" t="str">
            <v>Nathaly Allcca</v>
          </cell>
          <cell r="J1373" t="str">
            <v>NO RFI</v>
          </cell>
          <cell r="K1373">
            <v>46066</v>
          </cell>
        </row>
        <row r="1374">
          <cell r="B1374" t="str">
            <v>TX_CRA2026_517</v>
          </cell>
          <cell r="C1374" t="str">
            <v>0100102_LM_Sinchi_Roca to 0105273_LM_Tungasuca</v>
          </cell>
          <cell r="D1374" t="str">
            <v>M0850</v>
          </cell>
          <cell r="E1374" t="str">
            <v>CRA MOVIL 2026</v>
          </cell>
          <cell r="F1374" t="str">
            <v>Transporte</v>
          </cell>
          <cell r="G1374">
            <v>2026</v>
          </cell>
          <cell r="H1374" t="str">
            <v>Q2</v>
          </cell>
          <cell r="I1374" t="str">
            <v>Nathaly Allcca</v>
          </cell>
          <cell r="J1374" t="str">
            <v>NO RFI</v>
          </cell>
          <cell r="K1374">
            <v>46066</v>
          </cell>
        </row>
        <row r="1375">
          <cell r="B1375" t="str">
            <v>TX_CRA2026_518</v>
          </cell>
          <cell r="C1375" t="str">
            <v>0103509_LH_Via_Pilcomarca to 0104817_LH_IB_OP_Huanuco</v>
          </cell>
          <cell r="D1375" t="str">
            <v>M0850</v>
          </cell>
          <cell r="E1375" t="str">
            <v>CRA MOVIL 2026</v>
          </cell>
          <cell r="F1375" t="str">
            <v>Transporte</v>
          </cell>
          <cell r="G1375">
            <v>2026</v>
          </cell>
          <cell r="H1375" t="str">
            <v>Q2</v>
          </cell>
          <cell r="I1375" t="str">
            <v>Nathaly Allcca</v>
          </cell>
          <cell r="J1375" t="str">
            <v>NO RFI</v>
          </cell>
          <cell r="K1375">
            <v>46066</v>
          </cell>
        </row>
        <row r="1376">
          <cell r="B1376" t="str">
            <v>TX_CRA2026_519</v>
          </cell>
          <cell r="C1376" t="str">
            <v>0100546_LM_Huertos_De_Manchay to 0104796_LM_Las_Lomas_Manchay</v>
          </cell>
          <cell r="D1376" t="str">
            <v>M0850</v>
          </cell>
          <cell r="E1376" t="str">
            <v>CRA MOVIL 2026</v>
          </cell>
          <cell r="F1376" t="str">
            <v>Transporte</v>
          </cell>
          <cell r="G1376">
            <v>2026</v>
          </cell>
          <cell r="H1376" t="str">
            <v>Q2</v>
          </cell>
          <cell r="I1376" t="str">
            <v>Nathaly Allcca</v>
          </cell>
          <cell r="J1376" t="str">
            <v>NO RFI</v>
          </cell>
          <cell r="K1376">
            <v>46066</v>
          </cell>
        </row>
        <row r="1377">
          <cell r="B1377" t="str">
            <v>TX_CRA2026_520</v>
          </cell>
          <cell r="C1377" t="str">
            <v>0103344_UY_Pucallpa_Centro to 0104795_UY_Victor_Montalvo</v>
          </cell>
          <cell r="D1377" t="str">
            <v>M0850</v>
          </cell>
          <cell r="E1377" t="str">
            <v>CRA MOVIL 2026</v>
          </cell>
          <cell r="F1377" t="str">
            <v>Transporte</v>
          </cell>
          <cell r="G1377">
            <v>2026</v>
          </cell>
          <cell r="H1377" t="str">
            <v>Q2</v>
          </cell>
          <cell r="I1377" t="str">
            <v>Nathaly Allcca</v>
          </cell>
          <cell r="J1377" t="str">
            <v>NO RFI</v>
          </cell>
          <cell r="K1377">
            <v>46066</v>
          </cell>
        </row>
        <row r="1378">
          <cell r="B1378" t="str">
            <v>TX_CRA2026_521</v>
          </cell>
          <cell r="C1378" t="str">
            <v>0100252_LM_Alonso_de_Molina to 0104596_LM_Club_Arabe</v>
          </cell>
          <cell r="D1378" t="str">
            <v>M0850</v>
          </cell>
          <cell r="E1378" t="str">
            <v>CRA MOVIL 2026</v>
          </cell>
          <cell r="F1378" t="str">
            <v>Transporte</v>
          </cell>
          <cell r="G1378">
            <v>2026</v>
          </cell>
          <cell r="H1378" t="str">
            <v>Q2</v>
          </cell>
          <cell r="I1378" t="str">
            <v>Nathaly Allcca</v>
          </cell>
          <cell r="J1378" t="str">
            <v>NO RFI</v>
          </cell>
          <cell r="K1378">
            <v>46066</v>
          </cell>
        </row>
        <row r="1379">
          <cell r="B1379" t="str">
            <v>TX_CRA2026_522</v>
          </cell>
          <cell r="C1379" t="str">
            <v>0100002_LM_Nuevo_Comas to 0104489_LM_Jesus_Obrero</v>
          </cell>
          <cell r="D1379" t="str">
            <v>M0850</v>
          </cell>
          <cell r="E1379" t="str">
            <v>CRA MOVIL 2026</v>
          </cell>
          <cell r="F1379" t="str">
            <v>Transporte</v>
          </cell>
          <cell r="G1379">
            <v>2026</v>
          </cell>
          <cell r="H1379" t="str">
            <v>Q2</v>
          </cell>
          <cell r="I1379" t="str">
            <v>Nathaly Allcca</v>
          </cell>
          <cell r="J1379" t="str">
            <v>NO RFI</v>
          </cell>
          <cell r="K1379">
            <v>46066</v>
          </cell>
        </row>
        <row r="1380">
          <cell r="B1380" t="str">
            <v>TX_CRA2026_523</v>
          </cell>
          <cell r="C1380" t="str">
            <v>0105493_LM_Ventanilla_Norte to 0104002_LM_Pablo_Boner</v>
          </cell>
          <cell r="D1380" t="str">
            <v>M0850</v>
          </cell>
          <cell r="E1380" t="str">
            <v>CRA MOVIL 2026</v>
          </cell>
          <cell r="F1380" t="str">
            <v>Transporte</v>
          </cell>
          <cell r="G1380">
            <v>2026</v>
          </cell>
          <cell r="H1380" t="str">
            <v>Q2</v>
          </cell>
          <cell r="I1380" t="str">
            <v>Nathaly Allcca</v>
          </cell>
          <cell r="J1380" t="str">
            <v>NO RFI</v>
          </cell>
          <cell r="K1380">
            <v>46066</v>
          </cell>
        </row>
        <row r="1381">
          <cell r="B1381" t="str">
            <v>TX_CRA2026_524</v>
          </cell>
          <cell r="C1381" t="str">
            <v>0103056_JU_Huamanmarca to 0103087_JU_Huayucachi</v>
          </cell>
          <cell r="D1381" t="str">
            <v>M0850</v>
          </cell>
          <cell r="E1381" t="str">
            <v>CRA MOVIL 2026</v>
          </cell>
          <cell r="F1381" t="str">
            <v>Transporte</v>
          </cell>
          <cell r="G1381">
            <v>2026</v>
          </cell>
          <cell r="H1381" t="str">
            <v>Q2</v>
          </cell>
          <cell r="I1381" t="str">
            <v>Nathaly Allcca</v>
          </cell>
          <cell r="J1381" t="str">
            <v>NO RFI</v>
          </cell>
          <cell r="K1381">
            <v>46066</v>
          </cell>
        </row>
        <row r="1382">
          <cell r="B1382" t="str">
            <v>TX_CRA2026_525</v>
          </cell>
          <cell r="C1382" t="str">
            <v>0100106_LM_Eucaliptos to 0102953_LM_Sedapal_R1</v>
          </cell>
          <cell r="D1382" t="str">
            <v>M0850</v>
          </cell>
          <cell r="E1382" t="str">
            <v>CRA MOVIL 2026</v>
          </cell>
          <cell r="F1382" t="str">
            <v>Transporte</v>
          </cell>
          <cell r="G1382">
            <v>2026</v>
          </cell>
          <cell r="H1382" t="str">
            <v>Q2</v>
          </cell>
          <cell r="I1382" t="str">
            <v>Nathaly Allcca</v>
          </cell>
          <cell r="J1382" t="str">
            <v>NO RFI</v>
          </cell>
          <cell r="K1382">
            <v>46066</v>
          </cell>
        </row>
        <row r="1383">
          <cell r="B1383" t="str">
            <v>TX_CRA2026_526</v>
          </cell>
          <cell r="C1383" t="str">
            <v>0102915_AP_Andahuaylas to 0102918_AP_Wanka</v>
          </cell>
          <cell r="D1383" t="str">
            <v>M0850</v>
          </cell>
          <cell r="E1383" t="str">
            <v>CRA MOVIL 2026</v>
          </cell>
          <cell r="F1383" t="str">
            <v>Transporte</v>
          </cell>
          <cell r="G1383">
            <v>2026</v>
          </cell>
          <cell r="H1383" t="str">
            <v>Q2</v>
          </cell>
          <cell r="I1383" t="str">
            <v>Nathaly Allcca</v>
          </cell>
          <cell r="J1383" t="str">
            <v>NO RFI</v>
          </cell>
          <cell r="K1383">
            <v>46066</v>
          </cell>
        </row>
        <row r="1384">
          <cell r="B1384" t="str">
            <v>TX_CRA2026_527</v>
          </cell>
          <cell r="C1384" t="str">
            <v>0100546_LM_Huertos_De_Manchay to 0101975_LM_Manchay_Naranjos</v>
          </cell>
          <cell r="D1384" t="str">
            <v>M0850</v>
          </cell>
          <cell r="E1384" t="str">
            <v>CRA MOVIL 2026</v>
          </cell>
          <cell r="F1384" t="str">
            <v>Transporte</v>
          </cell>
          <cell r="G1384">
            <v>2026</v>
          </cell>
          <cell r="H1384" t="str">
            <v>Q2</v>
          </cell>
          <cell r="I1384" t="str">
            <v>Nathaly Allcca</v>
          </cell>
          <cell r="J1384" t="str">
            <v>NO RFI</v>
          </cell>
          <cell r="K1384">
            <v>46066</v>
          </cell>
        </row>
        <row r="1385">
          <cell r="B1385" t="str">
            <v>TX_CRA2026_528</v>
          </cell>
          <cell r="C1385" t="str">
            <v>0100386_LM_Huaura to 0105726_LM_Colobarrutia</v>
          </cell>
          <cell r="D1385" t="str">
            <v>M0850</v>
          </cell>
          <cell r="E1385" t="str">
            <v>CRA MOVIL 2026</v>
          </cell>
          <cell r="F1385" t="str">
            <v>Transporte</v>
          </cell>
          <cell r="G1385">
            <v>2026</v>
          </cell>
          <cell r="H1385" t="str">
            <v>Q2</v>
          </cell>
          <cell r="I1385" t="str">
            <v>Nathaly Allcca</v>
          </cell>
          <cell r="J1385" t="str">
            <v>NO RFI</v>
          </cell>
          <cell r="K1385">
            <v>46066</v>
          </cell>
        </row>
        <row r="1386">
          <cell r="B1386" t="str">
            <v>TX_CRA2026_529</v>
          </cell>
          <cell r="C1386" t="str">
            <v>0105557_LM_Municip_Jicamarca to 010254575_LM_Padrino_Campestre</v>
          </cell>
          <cell r="D1386" t="str">
            <v>M0850</v>
          </cell>
          <cell r="E1386" t="str">
            <v>CRA MOVIL 2026</v>
          </cell>
          <cell r="F1386" t="str">
            <v>Transporte</v>
          </cell>
          <cell r="G1386">
            <v>2026</v>
          </cell>
          <cell r="H1386" t="str">
            <v>Q2</v>
          </cell>
          <cell r="I1386" t="str">
            <v>Nathaly Allcca</v>
          </cell>
          <cell r="J1386" t="str">
            <v>NO RFI</v>
          </cell>
          <cell r="K1386">
            <v>46066</v>
          </cell>
        </row>
        <row r="1387">
          <cell r="B1387" t="str">
            <v>TX_CRA2026_530</v>
          </cell>
          <cell r="C1387" t="str">
            <v>0100820_IC_Cerro_Prieto to 010211411_IC_ProAgroColca</v>
          </cell>
          <cell r="D1387" t="str">
            <v>M0850</v>
          </cell>
          <cell r="E1387" t="str">
            <v>CRA MOVIL 2026</v>
          </cell>
          <cell r="F1387" t="str">
            <v>Transporte</v>
          </cell>
          <cell r="G1387">
            <v>2026</v>
          </cell>
          <cell r="H1387" t="str">
            <v>Q2</v>
          </cell>
          <cell r="I1387" t="str">
            <v>Nathaly Allcca</v>
          </cell>
          <cell r="J1387" t="str">
            <v>NO RFI</v>
          </cell>
          <cell r="K1387">
            <v>46066</v>
          </cell>
        </row>
        <row r="1388">
          <cell r="B1388" t="str">
            <v>TX_CRA2026_531</v>
          </cell>
          <cell r="C1388" t="str">
            <v>0100759_AN_Alto_Nuevo_Chimbote to 010120026_AN_Delicias_Sur</v>
          </cell>
          <cell r="D1388" t="str">
            <v>M0850</v>
          </cell>
          <cell r="E1388" t="str">
            <v>CRA MOVIL 2026</v>
          </cell>
          <cell r="F1388" t="str">
            <v>Transporte</v>
          </cell>
          <cell r="G1388">
            <v>2026</v>
          </cell>
          <cell r="H1388" t="str">
            <v>Q2</v>
          </cell>
          <cell r="I1388" t="str">
            <v>Nathaly Allcca</v>
          </cell>
          <cell r="J1388" t="str">
            <v>NO RFI</v>
          </cell>
          <cell r="K1388">
            <v>46066</v>
          </cell>
        </row>
        <row r="1389">
          <cell r="B1389" t="str">
            <v>TX_CRA2026_532</v>
          </cell>
          <cell r="C1389" t="str">
            <v>0100823_IC_Las_Dunas to 0102278_IC_Camino_Reyes</v>
          </cell>
          <cell r="D1389" t="str">
            <v>M0850</v>
          </cell>
          <cell r="E1389" t="str">
            <v>CRA MOVIL 2026</v>
          </cell>
          <cell r="F1389" t="str">
            <v>Transporte</v>
          </cell>
          <cell r="G1389">
            <v>2026</v>
          </cell>
          <cell r="H1389" t="str">
            <v>Q2</v>
          </cell>
          <cell r="I1389" t="str">
            <v>Nathaly Allcca</v>
          </cell>
          <cell r="J1389" t="str">
            <v>NO RFI</v>
          </cell>
          <cell r="K1389">
            <v>46066</v>
          </cell>
        </row>
        <row r="1390">
          <cell r="B1390" t="str">
            <v>TX_CRA2026_533</v>
          </cell>
          <cell r="C1390" t="str">
            <v>0105557_LM_Municip_Jicamarca to 0102176_LM_Zona_Volcan</v>
          </cell>
          <cell r="D1390" t="str">
            <v>M0850</v>
          </cell>
          <cell r="E1390" t="str">
            <v>CRA MOVIL 2026</v>
          </cell>
          <cell r="F1390" t="str">
            <v>Transporte</v>
          </cell>
          <cell r="G1390">
            <v>2026</v>
          </cell>
          <cell r="H1390" t="str">
            <v>Q2</v>
          </cell>
          <cell r="I1390" t="str">
            <v>Nathaly Allcca</v>
          </cell>
          <cell r="J1390" t="str">
            <v>NO RFI</v>
          </cell>
          <cell r="K1390">
            <v>46066</v>
          </cell>
        </row>
        <row r="1391">
          <cell r="B1391" t="str">
            <v>TX_CRA2026_534</v>
          </cell>
          <cell r="C1391" t="str">
            <v>0100397_LM_Punta_Corrientes to 0104581_LM_Los_Leoncitos</v>
          </cell>
          <cell r="D1391" t="str">
            <v>M0850</v>
          </cell>
          <cell r="E1391" t="str">
            <v>CRA MOVIL 2026</v>
          </cell>
          <cell r="F1391" t="str">
            <v>Transporte</v>
          </cell>
          <cell r="G1391">
            <v>2026</v>
          </cell>
          <cell r="H1391" t="str">
            <v>Q2</v>
          </cell>
          <cell r="I1391" t="str">
            <v>Nathaly Allcca</v>
          </cell>
          <cell r="J1391" t="str">
            <v>NO RFI</v>
          </cell>
          <cell r="K1391">
            <v>46066</v>
          </cell>
        </row>
        <row r="1392">
          <cell r="B1392" t="str">
            <v>TX_CRA2026_535</v>
          </cell>
          <cell r="C1392" t="str">
            <v>0100130_LM_San_Borja_Norte to 0100242_LM_Campo_Fe</v>
          </cell>
          <cell r="D1392" t="str">
            <v>M0850</v>
          </cell>
          <cell r="E1392" t="str">
            <v>CRA MOVIL 2026</v>
          </cell>
          <cell r="F1392" t="str">
            <v>Transporte</v>
          </cell>
          <cell r="G1392">
            <v>2026</v>
          </cell>
          <cell r="H1392" t="str">
            <v>Q2</v>
          </cell>
          <cell r="I1392" t="str">
            <v>Nathaly Allcca</v>
          </cell>
          <cell r="J1392" t="str">
            <v>NO RFI</v>
          </cell>
          <cell r="K1392">
            <v>46066</v>
          </cell>
        </row>
        <row r="1393">
          <cell r="B1393" t="str">
            <v>TX_CRA2026_536</v>
          </cell>
          <cell r="C1393" t="str">
            <v>0105151_LM_Galpones to 010255020_LM_AldeasPachacamac</v>
          </cell>
          <cell r="D1393" t="str">
            <v>M0850</v>
          </cell>
          <cell r="E1393" t="str">
            <v>CRA MOVIL 2026</v>
          </cell>
          <cell r="F1393" t="str">
            <v>Transporte</v>
          </cell>
          <cell r="G1393">
            <v>2026</v>
          </cell>
          <cell r="H1393" t="str">
            <v>Q2</v>
          </cell>
          <cell r="I1393" t="str">
            <v>Nathaly Allcca</v>
          </cell>
          <cell r="J1393" t="str">
            <v>NO RFI</v>
          </cell>
          <cell r="K1393">
            <v>46066</v>
          </cell>
        </row>
        <row r="1394">
          <cell r="B1394" t="str">
            <v>TX_CRA2026_537</v>
          </cell>
          <cell r="C1394" t="str">
            <v>0100105_LM_Las_Torres to 010253486_LM_Muebles_de_Villa</v>
          </cell>
          <cell r="D1394" t="str">
            <v>M0850</v>
          </cell>
          <cell r="E1394" t="str">
            <v>CRA MOVIL 2026</v>
          </cell>
          <cell r="F1394" t="str">
            <v>Transporte</v>
          </cell>
          <cell r="G1394">
            <v>2026</v>
          </cell>
          <cell r="H1394" t="str">
            <v>Q2</v>
          </cell>
          <cell r="I1394" t="str">
            <v>Nathaly Allcca</v>
          </cell>
          <cell r="J1394" t="str">
            <v>NO RFI</v>
          </cell>
          <cell r="K1394">
            <v>46066</v>
          </cell>
        </row>
        <row r="1395">
          <cell r="B1395" t="str">
            <v>TX_CRA2026_538</v>
          </cell>
          <cell r="C1395" t="str">
            <v>0100105_LM_Las_Torres to 0106172_LM_Calle_Solidaridad</v>
          </cell>
          <cell r="D1395" t="str">
            <v>M0850</v>
          </cell>
          <cell r="E1395" t="str">
            <v>CRA MOVIL 2026</v>
          </cell>
          <cell r="F1395" t="str">
            <v>Transporte</v>
          </cell>
          <cell r="G1395">
            <v>2026</v>
          </cell>
          <cell r="H1395" t="str">
            <v>Q2</v>
          </cell>
          <cell r="I1395" t="str">
            <v>Nathaly Allcca</v>
          </cell>
          <cell r="J1395" t="str">
            <v>NO RFI</v>
          </cell>
          <cell r="K1395">
            <v>46066</v>
          </cell>
        </row>
        <row r="1396">
          <cell r="B1396" t="str">
            <v>TX_CRA2026_539</v>
          </cell>
          <cell r="C1396" t="str">
            <v>0100387_LM_Lurin_R1 to 0105176_LM_Liugong</v>
          </cell>
          <cell r="D1396" t="str">
            <v>M0850</v>
          </cell>
          <cell r="E1396" t="str">
            <v>CRA MOVIL 2026</v>
          </cell>
          <cell r="F1396" t="str">
            <v>Transporte</v>
          </cell>
          <cell r="G1396">
            <v>2026</v>
          </cell>
          <cell r="H1396" t="str">
            <v>Q2</v>
          </cell>
          <cell r="I1396" t="str">
            <v>Nathaly Allcca</v>
          </cell>
          <cell r="J1396" t="str">
            <v>NO RFI</v>
          </cell>
          <cell r="K1396">
            <v>46066</v>
          </cell>
        </row>
        <row r="1397">
          <cell r="B1397" t="str">
            <v>TX_CRA2026_540</v>
          </cell>
          <cell r="C1397" t="str">
            <v>0100105_LM_Las_Torres to 0104533_LM_Mercado_Sectorial</v>
          </cell>
          <cell r="D1397" t="str">
            <v>M0850</v>
          </cell>
          <cell r="E1397" t="str">
            <v>CRA MOVIL 2026</v>
          </cell>
          <cell r="F1397" t="str">
            <v>Transporte</v>
          </cell>
          <cell r="G1397">
            <v>2026</v>
          </cell>
          <cell r="H1397" t="str">
            <v>Q2</v>
          </cell>
          <cell r="I1397" t="str">
            <v>Nathaly Allcca</v>
          </cell>
          <cell r="J1397" t="str">
            <v>NO RFI</v>
          </cell>
          <cell r="K1397">
            <v>46066</v>
          </cell>
        </row>
        <row r="1398">
          <cell r="B1398" t="str">
            <v>TX_CRA2026_541</v>
          </cell>
          <cell r="C1398" t="str">
            <v>0106253_LM_Raymisa to 0106256_LM_Playa_El_Silencio</v>
          </cell>
          <cell r="D1398" t="str">
            <v>M0850</v>
          </cell>
          <cell r="E1398" t="str">
            <v>CRA MOVIL 2026</v>
          </cell>
          <cell r="F1398" t="str">
            <v>Transporte</v>
          </cell>
          <cell r="G1398">
            <v>2026</v>
          </cell>
          <cell r="H1398" t="str">
            <v>Q2</v>
          </cell>
          <cell r="I1398" t="str">
            <v>Nathaly Allcca</v>
          </cell>
          <cell r="J1398" t="str">
            <v>NO RFI</v>
          </cell>
          <cell r="K1398">
            <v>46066</v>
          </cell>
        </row>
        <row r="1399">
          <cell r="B1399" t="str">
            <v>TX_CRA2026_542</v>
          </cell>
          <cell r="C1399" t="str">
            <v>0100107_LM_Higuereta to 0106140_LM_Colegio_Ricardo_Pal</v>
          </cell>
          <cell r="D1399" t="str">
            <v>M0850</v>
          </cell>
          <cell r="E1399" t="str">
            <v>CRA MOVIL 2026</v>
          </cell>
          <cell r="F1399" t="str">
            <v>Transporte</v>
          </cell>
          <cell r="G1399">
            <v>2026</v>
          </cell>
          <cell r="H1399" t="str">
            <v>Q2</v>
          </cell>
          <cell r="I1399" t="str">
            <v>Nathaly Allcca</v>
          </cell>
          <cell r="J1399" t="str">
            <v>NO RFI</v>
          </cell>
          <cell r="K1399">
            <v>46066</v>
          </cell>
        </row>
        <row r="1400">
          <cell r="B1400" t="str">
            <v>TX_CRA2026_543</v>
          </cell>
          <cell r="C1400" t="str">
            <v>0100027_LM_San_Luis to 0106008_LM_Joaquinmadrid</v>
          </cell>
          <cell r="D1400" t="str">
            <v>M0850</v>
          </cell>
          <cell r="E1400" t="str">
            <v>CRA MOVIL 2026</v>
          </cell>
          <cell r="F1400" t="str">
            <v>Transporte</v>
          </cell>
          <cell r="G1400">
            <v>2026</v>
          </cell>
          <cell r="H1400" t="str">
            <v>Q2</v>
          </cell>
          <cell r="I1400" t="str">
            <v>Nathaly Allcca</v>
          </cell>
          <cell r="J1400" t="str">
            <v>NO RFI</v>
          </cell>
          <cell r="K1400">
            <v>46066</v>
          </cell>
        </row>
        <row r="1401">
          <cell r="B1401" t="str">
            <v>TX_CRA2026_544</v>
          </cell>
          <cell r="C1401" t="str">
            <v>0100268_LM_Tallanes to 0102965_LM_Eden_R1</v>
          </cell>
          <cell r="D1401" t="str">
            <v>M0850</v>
          </cell>
          <cell r="E1401" t="str">
            <v>CRA MOVIL 2026</v>
          </cell>
          <cell r="F1401" t="str">
            <v>Transporte</v>
          </cell>
          <cell r="G1401">
            <v>2026</v>
          </cell>
          <cell r="H1401" t="str">
            <v>Q2</v>
          </cell>
          <cell r="I1401" t="str">
            <v>Nathaly Allcca</v>
          </cell>
          <cell r="J1401" t="str">
            <v>NO RFI</v>
          </cell>
          <cell r="K1401">
            <v>46066</v>
          </cell>
        </row>
        <row r="1402">
          <cell r="B1402" t="str">
            <v>TX_CRA2026_545</v>
          </cell>
          <cell r="C1402" t="str">
            <v>0100501_LM_Tilda to 0105616_LM_Alameda_De_Ate</v>
          </cell>
          <cell r="D1402" t="str">
            <v>M0850</v>
          </cell>
          <cell r="E1402" t="str">
            <v>CRA MOVIL 2026</v>
          </cell>
          <cell r="F1402" t="str">
            <v>Transporte</v>
          </cell>
          <cell r="G1402">
            <v>2026</v>
          </cell>
          <cell r="H1402" t="str">
            <v>Q2</v>
          </cell>
          <cell r="I1402" t="str">
            <v>Nathaly Allcca</v>
          </cell>
          <cell r="J1402" t="str">
            <v>NO RFI</v>
          </cell>
          <cell r="K1402">
            <v>46066</v>
          </cell>
        </row>
        <row r="1403">
          <cell r="B1403" t="str">
            <v>TX_CRA2026_546</v>
          </cell>
          <cell r="C1403" t="str">
            <v>0130479_LM_Santa_Patricia to 0100324_LM_IBM</v>
          </cell>
          <cell r="D1403" t="str">
            <v>M0850</v>
          </cell>
          <cell r="E1403" t="str">
            <v>CRA MOVIL 2026</v>
          </cell>
          <cell r="F1403" t="str">
            <v>Transporte</v>
          </cell>
          <cell r="G1403">
            <v>2026</v>
          </cell>
          <cell r="H1403" t="str">
            <v>Q2</v>
          </cell>
          <cell r="I1403" t="str">
            <v>Nathaly Allcca</v>
          </cell>
          <cell r="J1403" t="str">
            <v>NO RFI</v>
          </cell>
          <cell r="K1403">
            <v>46066</v>
          </cell>
        </row>
        <row r="1404">
          <cell r="B1404" t="str">
            <v>TX_CRA2026_547</v>
          </cell>
          <cell r="C1404" t="str">
            <v>0106080_LM_Pedro_Laos_Hurtado_0100267_LM_Billinghurst</v>
          </cell>
          <cell r="D1404" t="str">
            <v>M0850</v>
          </cell>
          <cell r="E1404" t="str">
            <v>CRA MOVIL 2026</v>
          </cell>
          <cell r="F1404" t="str">
            <v>Transporte</v>
          </cell>
          <cell r="G1404">
            <v>2026</v>
          </cell>
          <cell r="H1404" t="str">
            <v>Q2</v>
          </cell>
          <cell r="I1404" t="str">
            <v>Nathaly Allcca</v>
          </cell>
          <cell r="J1404" t="str">
            <v>RFI</v>
          </cell>
          <cell r="K1404">
            <v>46066</v>
          </cell>
        </row>
        <row r="1405">
          <cell r="B1405" t="str">
            <v>TX_CRA2026_548</v>
          </cell>
          <cell r="C1405" t="str">
            <v>0105302_LM_Colectora_0100284_LM_Bocanegra</v>
          </cell>
          <cell r="D1405" t="str">
            <v>M0850</v>
          </cell>
          <cell r="E1405" t="str">
            <v>CRA MOVIL 2026</v>
          </cell>
          <cell r="F1405" t="str">
            <v>Transporte</v>
          </cell>
          <cell r="G1405">
            <v>2026</v>
          </cell>
          <cell r="H1405" t="str">
            <v>Q2</v>
          </cell>
          <cell r="I1405" t="str">
            <v>Nathaly Allcca</v>
          </cell>
          <cell r="J1405" t="str">
            <v>RFI</v>
          </cell>
          <cell r="K1405">
            <v>46066</v>
          </cell>
        </row>
        <row r="1406">
          <cell r="B1406" t="str">
            <v>TX_CRA2026_549</v>
          </cell>
          <cell r="C1406" t="str">
            <v>0106158_LM_Villa_ATC_0100038_LM_Villa_Salvador</v>
          </cell>
          <cell r="D1406" t="str">
            <v>M0850</v>
          </cell>
          <cell r="E1406" t="str">
            <v>CRA MOVIL 2026</v>
          </cell>
          <cell r="F1406" t="str">
            <v>Transporte</v>
          </cell>
          <cell r="G1406">
            <v>2026</v>
          </cell>
          <cell r="H1406" t="str">
            <v>Q2</v>
          </cell>
          <cell r="I1406" t="str">
            <v>Nathaly Allcca</v>
          </cell>
          <cell r="J1406" t="str">
            <v>RFI</v>
          </cell>
          <cell r="K1406">
            <v>46066</v>
          </cell>
        </row>
        <row r="1407">
          <cell r="B1407" t="str">
            <v>TX_CRA2026_550</v>
          </cell>
          <cell r="C1407" t="str">
            <v>0102215_IC_Jiron_Pilpa_0100815_IC_Chincha</v>
          </cell>
          <cell r="D1407" t="str">
            <v>M0850</v>
          </cell>
          <cell r="E1407" t="str">
            <v>CRA MOVIL 2026</v>
          </cell>
          <cell r="F1407" t="str">
            <v>Transporte</v>
          </cell>
          <cell r="G1407">
            <v>2026</v>
          </cell>
          <cell r="H1407" t="str">
            <v>Q2</v>
          </cell>
          <cell r="I1407" t="str">
            <v>Nathaly Allcca</v>
          </cell>
          <cell r="J1407" t="str">
            <v>RFI</v>
          </cell>
          <cell r="K1407">
            <v>46066</v>
          </cell>
        </row>
        <row r="1408">
          <cell r="B1408" t="str">
            <v>TX_CRA2026_551</v>
          </cell>
          <cell r="C1408" t="str">
            <v>0100486_LM_Los_Jaspes_0100289_LM_Castro_Castro</v>
          </cell>
          <cell r="D1408" t="str">
            <v>M0850</v>
          </cell>
          <cell r="E1408" t="str">
            <v>CRA MOVIL 2026</v>
          </cell>
          <cell r="F1408" t="str">
            <v>Transporte</v>
          </cell>
          <cell r="G1408">
            <v>2026</v>
          </cell>
          <cell r="H1408" t="str">
            <v>Q2</v>
          </cell>
          <cell r="I1408" t="str">
            <v>Nathaly Allcca</v>
          </cell>
          <cell r="J1408" t="str">
            <v>RFI</v>
          </cell>
          <cell r="K1408">
            <v>46066</v>
          </cell>
        </row>
        <row r="1409">
          <cell r="B1409" t="str">
            <v>TX_CRA2026_552</v>
          </cell>
          <cell r="C1409" t="str">
            <v>0100248_LM_Miota_0100033_LM_San_Juan_de_Mirafl</v>
          </cell>
          <cell r="D1409" t="str">
            <v>M0850</v>
          </cell>
          <cell r="E1409" t="str">
            <v>CRA MOVIL 2026</v>
          </cell>
          <cell r="F1409" t="str">
            <v>Transporte</v>
          </cell>
          <cell r="G1409">
            <v>2026</v>
          </cell>
          <cell r="H1409" t="str">
            <v>Q2</v>
          </cell>
          <cell r="I1409" t="str">
            <v>Nathaly Allcca</v>
          </cell>
          <cell r="J1409" t="str">
            <v>RFI</v>
          </cell>
          <cell r="K1409">
            <v>46066</v>
          </cell>
        </row>
        <row r="1410">
          <cell r="B1410" t="str">
            <v>TX_CRA2026_553</v>
          </cell>
          <cell r="C1410" t="str">
            <v>0103947_LM_Mitsui_Canada_0100063_LM_Risso</v>
          </cell>
          <cell r="D1410" t="str">
            <v>M0850</v>
          </cell>
          <cell r="E1410" t="str">
            <v>CRA MOVIL 2026</v>
          </cell>
          <cell r="F1410" t="str">
            <v>Transporte</v>
          </cell>
          <cell r="G1410">
            <v>2026</v>
          </cell>
          <cell r="H1410" t="str">
            <v>Q2</v>
          </cell>
          <cell r="I1410" t="str">
            <v>Nathaly Allcca</v>
          </cell>
          <cell r="J1410" t="str">
            <v>RFI</v>
          </cell>
          <cell r="K1410">
            <v>46066</v>
          </cell>
        </row>
        <row r="1411">
          <cell r="B1411" t="str">
            <v>TX_CRA2026_554</v>
          </cell>
          <cell r="C1411" t="str">
            <v>0100251_LM_Parque_de_las_Leye_0100012_LM_Pando</v>
          </cell>
          <cell r="D1411" t="str">
            <v>M0850</v>
          </cell>
          <cell r="E1411" t="str">
            <v>CRA MOVIL 2026</v>
          </cell>
          <cell r="F1411" t="str">
            <v>Transporte</v>
          </cell>
          <cell r="G1411">
            <v>2026</v>
          </cell>
          <cell r="H1411" t="str">
            <v>Q2</v>
          </cell>
          <cell r="I1411" t="str">
            <v>Nathaly Allcca</v>
          </cell>
          <cell r="J1411" t="str">
            <v>RFI</v>
          </cell>
          <cell r="K1411">
            <v>46066</v>
          </cell>
        </row>
        <row r="1412">
          <cell r="B1412" t="str">
            <v>TX_CRA2026_555</v>
          </cell>
          <cell r="C1412" t="str">
            <v>0105694_LM_Calle_Viru_0101149_LM_Nuevo_Caqueta</v>
          </cell>
          <cell r="D1412" t="str">
            <v>M0850</v>
          </cell>
          <cell r="E1412" t="str">
            <v>CRA MOVIL 2026</v>
          </cell>
          <cell r="F1412" t="str">
            <v>Transporte</v>
          </cell>
          <cell r="G1412">
            <v>2026</v>
          </cell>
          <cell r="H1412" t="str">
            <v>Q2</v>
          </cell>
          <cell r="I1412" t="str">
            <v>Nathaly Allcca</v>
          </cell>
          <cell r="J1412" t="str">
            <v>RFI</v>
          </cell>
          <cell r="K1412">
            <v>46066</v>
          </cell>
        </row>
        <row r="1413">
          <cell r="B1413" t="str">
            <v>TX_CRA2026_556</v>
          </cell>
          <cell r="C1413" t="str">
            <v>0105132_LM_Eloy_Ureta_0100105_LM_Las_Torres</v>
          </cell>
          <cell r="D1413" t="str">
            <v>M0850</v>
          </cell>
          <cell r="E1413" t="str">
            <v>CRA MOVIL 2026</v>
          </cell>
          <cell r="F1413" t="str">
            <v>Transporte</v>
          </cell>
          <cell r="G1413">
            <v>2026</v>
          </cell>
          <cell r="H1413" t="str">
            <v>Q2</v>
          </cell>
          <cell r="I1413" t="str">
            <v>Nathaly Allcca</v>
          </cell>
          <cell r="J1413" t="str">
            <v>RFI</v>
          </cell>
          <cell r="K1413">
            <v>46066</v>
          </cell>
        </row>
        <row r="1414">
          <cell r="B1414" t="str">
            <v>TX_CRA2026_557</v>
          </cell>
          <cell r="C1414" t="str">
            <v>0100331_LM_Vesalio_0100075_LM_Tomas_Marsano</v>
          </cell>
          <cell r="D1414" t="str">
            <v>M0850</v>
          </cell>
          <cell r="E1414" t="str">
            <v>CRA MOVIL 2026</v>
          </cell>
          <cell r="F1414" t="str">
            <v>Transporte</v>
          </cell>
          <cell r="G1414">
            <v>2026</v>
          </cell>
          <cell r="H1414" t="str">
            <v>Q2</v>
          </cell>
          <cell r="I1414" t="str">
            <v>Nathaly Allcca</v>
          </cell>
          <cell r="J1414" t="str">
            <v>RFI</v>
          </cell>
          <cell r="K1414">
            <v>46066</v>
          </cell>
        </row>
        <row r="1415">
          <cell r="B1415" t="str">
            <v>TX_CRA2026_558</v>
          </cell>
          <cell r="C1415" t="str">
            <v>0101054_LM_Camposanto_Mapfre_0100188_LM_Huachipa</v>
          </cell>
          <cell r="D1415" t="str">
            <v>M0850</v>
          </cell>
          <cell r="E1415" t="str">
            <v>CRA MOVIL 2026</v>
          </cell>
          <cell r="F1415" t="str">
            <v>Transporte</v>
          </cell>
          <cell r="G1415">
            <v>2026</v>
          </cell>
          <cell r="H1415" t="str">
            <v>Q2</v>
          </cell>
          <cell r="I1415" t="str">
            <v>Nathaly Allcca</v>
          </cell>
          <cell r="J1415" t="str">
            <v>RFI</v>
          </cell>
          <cell r="K1415">
            <v>46066</v>
          </cell>
        </row>
        <row r="1416">
          <cell r="B1416" t="str">
            <v>TX_CRA2026_559</v>
          </cell>
          <cell r="C1416" t="str">
            <v>0106199_LM_Mercedes_Cabello_0106185_LM_Inca_Garcilazo</v>
          </cell>
          <cell r="D1416" t="str">
            <v>M0850</v>
          </cell>
          <cell r="E1416" t="str">
            <v>CRA MOVIL 2026</v>
          </cell>
          <cell r="F1416" t="str">
            <v>Transporte</v>
          </cell>
          <cell r="G1416">
            <v>2026</v>
          </cell>
          <cell r="H1416" t="str">
            <v>Q2</v>
          </cell>
          <cell r="I1416" t="str">
            <v>Nathaly Allcca</v>
          </cell>
          <cell r="J1416" t="str">
            <v>RFI</v>
          </cell>
          <cell r="K1416">
            <v>46066</v>
          </cell>
        </row>
        <row r="1417">
          <cell r="B1417" t="str">
            <v>TX_CRA2026_560</v>
          </cell>
          <cell r="C1417" t="str">
            <v>0100246_LM_Surco_Viejo_0100032_LM_Jorge_Chavez</v>
          </cell>
          <cell r="D1417" t="str">
            <v>M0850</v>
          </cell>
          <cell r="E1417" t="str">
            <v>CRA MOVIL 2026</v>
          </cell>
          <cell r="F1417" t="str">
            <v>Transporte</v>
          </cell>
          <cell r="G1417">
            <v>2026</v>
          </cell>
          <cell r="H1417" t="str">
            <v>Q2</v>
          </cell>
          <cell r="I1417" t="str">
            <v>Nathaly Allcca</v>
          </cell>
          <cell r="J1417" t="str">
            <v>RFI</v>
          </cell>
          <cell r="K1417">
            <v>46066</v>
          </cell>
        </row>
        <row r="1418">
          <cell r="B1418" t="str">
            <v>TX_CRA2026_561</v>
          </cell>
          <cell r="C1418" t="str">
            <v>0105512_LM_Mariscal_Caceres_0100519_LM_Montenegro</v>
          </cell>
          <cell r="D1418" t="str">
            <v>M0850</v>
          </cell>
          <cell r="E1418" t="str">
            <v>CRA MOVIL 2026</v>
          </cell>
          <cell r="F1418" t="str">
            <v>Transporte</v>
          </cell>
          <cell r="G1418">
            <v>2026</v>
          </cell>
          <cell r="H1418" t="str">
            <v>Q2</v>
          </cell>
          <cell r="I1418" t="str">
            <v>Nathaly Allcca</v>
          </cell>
          <cell r="J1418" t="str">
            <v>RFI</v>
          </cell>
          <cell r="K1418">
            <v>46066</v>
          </cell>
        </row>
        <row r="1419">
          <cell r="B1419" t="str">
            <v>TX_CRA2026_562</v>
          </cell>
          <cell r="C1419" t="str">
            <v>010252712_LM_Santa_Beatriz_R1_0100127_LM_Manco_Capac</v>
          </cell>
          <cell r="D1419" t="str">
            <v>M0850</v>
          </cell>
          <cell r="E1419" t="str">
            <v>CRA MOVIL 2026</v>
          </cell>
          <cell r="F1419" t="str">
            <v>Transporte</v>
          </cell>
          <cell r="G1419">
            <v>2026</v>
          </cell>
          <cell r="H1419" t="str">
            <v>Q2</v>
          </cell>
          <cell r="I1419" t="str">
            <v>Nathaly Allcca</v>
          </cell>
          <cell r="J1419" t="str">
            <v>RFI</v>
          </cell>
          <cell r="K1419">
            <v>46066</v>
          </cell>
        </row>
        <row r="1420">
          <cell r="B1420" t="str">
            <v>TX_CRA2026_563</v>
          </cell>
          <cell r="C1420" t="str">
            <v>0105744_LM_Quimpac_R1_0100281_LM_Marquez</v>
          </cell>
          <cell r="D1420" t="str">
            <v>M0850</v>
          </cell>
          <cell r="E1420" t="str">
            <v>CRA MOVIL 2026</v>
          </cell>
          <cell r="F1420" t="str">
            <v>Transporte</v>
          </cell>
          <cell r="G1420">
            <v>2026</v>
          </cell>
          <cell r="H1420" t="str">
            <v>Q2</v>
          </cell>
          <cell r="I1420" t="str">
            <v>Nathaly Allcca</v>
          </cell>
          <cell r="J1420" t="str">
            <v>RFI</v>
          </cell>
          <cell r="K1420">
            <v>46066</v>
          </cell>
        </row>
        <row r="1421">
          <cell r="B1421" t="str">
            <v>TX_CRA2026_564</v>
          </cell>
          <cell r="C1421" t="str">
            <v>0103125_PI_Circunvalacion_Obre_0101744_PI_Salida_Tambogrande</v>
          </cell>
          <cell r="D1421" t="str">
            <v>M0850</v>
          </cell>
          <cell r="E1421" t="str">
            <v>CRA MOVIL 2026</v>
          </cell>
          <cell r="F1421" t="str">
            <v>Transporte</v>
          </cell>
          <cell r="G1421">
            <v>2026</v>
          </cell>
          <cell r="H1421" t="str">
            <v>Q2</v>
          </cell>
          <cell r="I1421" t="str">
            <v>Nathaly Allcca</v>
          </cell>
          <cell r="J1421" t="str">
            <v>RFI</v>
          </cell>
          <cell r="K1421">
            <v>46066</v>
          </cell>
        </row>
        <row r="1422">
          <cell r="B1422" t="str">
            <v>TX_CRA2026_565</v>
          </cell>
          <cell r="C1422" t="str">
            <v>0104666_LM_JAE_Infantas_0100149_LM_Trapiche</v>
          </cell>
          <cell r="D1422" t="str">
            <v>M0850</v>
          </cell>
          <cell r="E1422" t="str">
            <v>CRA MOVIL 2026</v>
          </cell>
          <cell r="F1422" t="str">
            <v>Transporte</v>
          </cell>
          <cell r="G1422">
            <v>2026</v>
          </cell>
          <cell r="H1422" t="str">
            <v>Q2</v>
          </cell>
          <cell r="I1422" t="str">
            <v>Nathaly Allcca</v>
          </cell>
          <cell r="J1422" t="str">
            <v>RFI</v>
          </cell>
          <cell r="K1422">
            <v>46066</v>
          </cell>
        </row>
        <row r="1423">
          <cell r="B1423" t="str">
            <v>TX_CRA2026_566</v>
          </cell>
          <cell r="C1423" t="str">
            <v>0105326_LM_El_Puerto_0100006_LM_Colon</v>
          </cell>
          <cell r="D1423" t="str">
            <v>M0850</v>
          </cell>
          <cell r="E1423" t="str">
            <v>CRA MOVIL 2026</v>
          </cell>
          <cell r="F1423" t="str">
            <v>Transporte</v>
          </cell>
          <cell r="G1423">
            <v>2026</v>
          </cell>
          <cell r="H1423" t="str">
            <v>Q2</v>
          </cell>
          <cell r="I1423" t="str">
            <v>Nathaly Allcca</v>
          </cell>
          <cell r="J1423" t="str">
            <v>RFI</v>
          </cell>
          <cell r="K1423">
            <v>46066</v>
          </cell>
        </row>
        <row r="1424">
          <cell r="B1424" t="str">
            <v>TX_CRA2026_567</v>
          </cell>
          <cell r="C1424" t="str">
            <v>0100306_LM_La_Rotonda_0100543_LM_Repetidor_La_Molina</v>
          </cell>
          <cell r="D1424" t="str">
            <v>M0850</v>
          </cell>
          <cell r="E1424" t="str">
            <v>CRA MOVIL 2026</v>
          </cell>
          <cell r="F1424" t="str">
            <v>Transporte</v>
          </cell>
          <cell r="G1424">
            <v>2026</v>
          </cell>
          <cell r="H1424" t="str">
            <v>Q2</v>
          </cell>
          <cell r="I1424" t="str">
            <v>Nathaly Allcca</v>
          </cell>
          <cell r="J1424" t="str">
            <v>RFI</v>
          </cell>
          <cell r="K1424">
            <v>46066</v>
          </cell>
        </row>
        <row r="1425">
          <cell r="B1425" t="str">
            <v>TX_CRA2026_568</v>
          </cell>
          <cell r="C1425" t="str">
            <v>0101517_CA_Estacion_Cajamarca_0101539_CA_Cerro_Cumbemayo</v>
          </cell>
          <cell r="D1425" t="str">
            <v>M0850</v>
          </cell>
          <cell r="E1425" t="str">
            <v>CRA MOVIL 2026</v>
          </cell>
          <cell r="F1425" t="str">
            <v>Transporte</v>
          </cell>
          <cell r="G1425">
            <v>2026</v>
          </cell>
          <cell r="H1425" t="str">
            <v>Q2</v>
          </cell>
          <cell r="I1425" t="str">
            <v>Nathaly Allcca</v>
          </cell>
          <cell r="J1425" t="str">
            <v>RFI</v>
          </cell>
          <cell r="K1425">
            <v>46066</v>
          </cell>
        </row>
        <row r="1426">
          <cell r="B1426" t="str">
            <v>TX_CRA2026_569</v>
          </cell>
          <cell r="C1426" t="str">
            <v>0100225_LM_El_Retablo_0100002_LM_Nuevo_Comas</v>
          </cell>
          <cell r="D1426" t="str">
            <v>M0850</v>
          </cell>
          <cell r="E1426" t="str">
            <v>CRA MOVIL 2026</v>
          </cell>
          <cell r="F1426" t="str">
            <v>Transporte</v>
          </cell>
          <cell r="G1426">
            <v>2026</v>
          </cell>
          <cell r="H1426" t="str">
            <v>Q2</v>
          </cell>
          <cell r="I1426" t="str">
            <v>Nathaly Allcca</v>
          </cell>
          <cell r="J1426" t="str">
            <v>RFI</v>
          </cell>
          <cell r="K1426">
            <v>46066</v>
          </cell>
        </row>
        <row r="1427">
          <cell r="B1427" t="str">
            <v>TX_CRA2026_570</v>
          </cell>
          <cell r="C1427" t="str">
            <v>0100497_LM_Portales_de_Naranjal_0105667_LM_Betancourt</v>
          </cell>
          <cell r="D1427" t="str">
            <v>M0850</v>
          </cell>
          <cell r="E1427" t="str">
            <v>CRA MOVIL 2026</v>
          </cell>
          <cell r="F1427" t="str">
            <v>Transporte</v>
          </cell>
          <cell r="G1427">
            <v>2026</v>
          </cell>
          <cell r="H1427" t="str">
            <v>Q2</v>
          </cell>
          <cell r="I1427" t="str">
            <v>Nathaly Allcca</v>
          </cell>
          <cell r="J1427" t="str">
            <v>RFI</v>
          </cell>
          <cell r="K1427">
            <v>46066</v>
          </cell>
        </row>
        <row r="1428">
          <cell r="B1428" t="str">
            <v>TX_CRA2026_571</v>
          </cell>
          <cell r="C1428" t="str">
            <v>0105422_LM_Shangrila_Puente_0100149_LM_Trapiche</v>
          </cell>
          <cell r="D1428" t="str">
            <v>M0850</v>
          </cell>
          <cell r="E1428" t="str">
            <v>CRA MOVIL 2026</v>
          </cell>
          <cell r="F1428" t="str">
            <v>Transporte</v>
          </cell>
          <cell r="G1428">
            <v>2026</v>
          </cell>
          <cell r="H1428" t="str">
            <v>Q2</v>
          </cell>
          <cell r="I1428" t="str">
            <v>Nathaly Allcca</v>
          </cell>
          <cell r="J1428" t="str">
            <v>RFI</v>
          </cell>
          <cell r="K1428">
            <v>46066</v>
          </cell>
        </row>
        <row r="1429">
          <cell r="B1429" t="str">
            <v>TX_CRA2026_572</v>
          </cell>
          <cell r="C1429" t="str">
            <v>0105653_LM_Condorcanqui_0100478_LM_Tiahuanaco</v>
          </cell>
          <cell r="D1429" t="str">
            <v>M0850</v>
          </cell>
          <cell r="E1429" t="str">
            <v>CRA MOVIL 2026</v>
          </cell>
          <cell r="F1429" t="str">
            <v>Transporte</v>
          </cell>
          <cell r="G1429">
            <v>2026</v>
          </cell>
          <cell r="H1429" t="str">
            <v>Q2</v>
          </cell>
          <cell r="I1429" t="str">
            <v>Nathaly Allcca</v>
          </cell>
          <cell r="J1429" t="str">
            <v>RFI</v>
          </cell>
          <cell r="K1429">
            <v>46066</v>
          </cell>
        </row>
        <row r="1430">
          <cell r="B1430" t="str">
            <v>TX_CRA2026_573</v>
          </cell>
          <cell r="C1430" t="str">
            <v>0100132_LM_Centro_Empresarial_0100539_LM_Camino_Real</v>
          </cell>
          <cell r="D1430" t="str">
            <v>M0850</v>
          </cell>
          <cell r="E1430" t="str">
            <v>CRA MOVIL 2026</v>
          </cell>
          <cell r="F1430" t="str">
            <v>Transporte</v>
          </cell>
          <cell r="G1430">
            <v>2026</v>
          </cell>
          <cell r="H1430" t="str">
            <v>Q2</v>
          </cell>
          <cell r="I1430" t="str">
            <v>Nathaly Allcca</v>
          </cell>
          <cell r="J1430" t="str">
            <v>RFI</v>
          </cell>
          <cell r="K1430">
            <v>46066</v>
          </cell>
        </row>
        <row r="1431">
          <cell r="B1431" t="str">
            <v>TX_CRA2026_574</v>
          </cell>
          <cell r="C1431" t="str">
            <v>0100518_LM_Puente_Piedra_Antiguo_0100373_LM_Carabayllo</v>
          </cell>
          <cell r="D1431" t="str">
            <v>M0850</v>
          </cell>
          <cell r="E1431" t="str">
            <v>CRA MOVIL 2026</v>
          </cell>
          <cell r="F1431" t="str">
            <v>Transporte</v>
          </cell>
          <cell r="G1431">
            <v>2026</v>
          </cell>
          <cell r="H1431" t="str">
            <v>Q2</v>
          </cell>
          <cell r="I1431" t="str">
            <v>Nathaly Allcca</v>
          </cell>
          <cell r="J1431" t="str">
            <v>RFI</v>
          </cell>
          <cell r="K1431">
            <v>46066</v>
          </cell>
        </row>
        <row r="1432">
          <cell r="B1432" t="str">
            <v>TX_CRA2026_575</v>
          </cell>
          <cell r="C1432" t="str">
            <v>010251244_LM_MacroEstacionPiramide_0105576_LM_San_Luis_Gonzaga</v>
          </cell>
          <cell r="D1432" t="str">
            <v>M0850</v>
          </cell>
          <cell r="E1432" t="str">
            <v>CRA MOVIL 2026</v>
          </cell>
          <cell r="F1432" t="str">
            <v>Transporte</v>
          </cell>
          <cell r="G1432">
            <v>2026</v>
          </cell>
          <cell r="H1432" t="str">
            <v>Q2</v>
          </cell>
          <cell r="I1432" t="str">
            <v>Nathaly Allcca</v>
          </cell>
          <cell r="J1432" t="str">
            <v>RFI</v>
          </cell>
          <cell r="K1432">
            <v>46066</v>
          </cell>
        </row>
        <row r="1433">
          <cell r="B1433" t="str">
            <v>TX_CRA2026_576</v>
          </cell>
          <cell r="C1433" t="str">
            <v>0104286_LI_Miramar_Moche_0100635_LI_Moche_Pueblo</v>
          </cell>
          <cell r="D1433" t="str">
            <v>M0850</v>
          </cell>
          <cell r="E1433" t="str">
            <v>CRA MOVIL 2026</v>
          </cell>
          <cell r="F1433" t="str">
            <v>Transporte</v>
          </cell>
          <cell r="G1433">
            <v>2026</v>
          </cell>
          <cell r="H1433" t="str">
            <v>Q2</v>
          </cell>
          <cell r="I1433" t="str">
            <v>Nathaly Allcca</v>
          </cell>
          <cell r="J1433" t="str">
            <v>RFI</v>
          </cell>
          <cell r="K1433">
            <v>46066</v>
          </cell>
        </row>
        <row r="1434">
          <cell r="B1434" t="str">
            <v>TX_CRA2026_577</v>
          </cell>
          <cell r="C1434" t="str">
            <v>0105342_LM_Hamburgo_0100281_LM_Marquez</v>
          </cell>
          <cell r="D1434" t="str">
            <v>M0850</v>
          </cell>
          <cell r="E1434" t="str">
            <v>CRA MOVIL 2026</v>
          </cell>
          <cell r="F1434" t="str">
            <v>Transporte</v>
          </cell>
          <cell r="G1434">
            <v>2026</v>
          </cell>
          <cell r="H1434" t="str">
            <v>Q2</v>
          </cell>
          <cell r="I1434" t="str">
            <v>Nathaly Allcca</v>
          </cell>
          <cell r="J1434" t="str">
            <v>RFI</v>
          </cell>
          <cell r="K1434">
            <v>46066</v>
          </cell>
        </row>
        <row r="1435">
          <cell r="B1435" t="str">
            <v>TX_CRA2026_578</v>
          </cell>
          <cell r="C1435" t="str">
            <v>0103112_PI_Nuevo_Sullana_0101708_PI_Sullana</v>
          </cell>
          <cell r="D1435" t="str">
            <v>M0850</v>
          </cell>
          <cell r="E1435" t="str">
            <v>CRA MOVIL 2026</v>
          </cell>
          <cell r="F1435" t="str">
            <v>Transporte</v>
          </cell>
          <cell r="G1435">
            <v>2026</v>
          </cell>
          <cell r="H1435" t="str">
            <v>Q2</v>
          </cell>
          <cell r="I1435" t="str">
            <v>Nathaly Allcca</v>
          </cell>
          <cell r="J1435" t="str">
            <v>RFI</v>
          </cell>
          <cell r="K1435">
            <v>46066</v>
          </cell>
        </row>
        <row r="1436">
          <cell r="B1436" t="str">
            <v>TX_CRA2026_579</v>
          </cell>
          <cell r="C1436" t="str">
            <v>0105775_LM_San_Luis_Vmt_0105964_LM_Alegria_Olaya</v>
          </cell>
          <cell r="D1436" t="str">
            <v>M0850</v>
          </cell>
          <cell r="E1436" t="str">
            <v>CRA MOVIL 2026</v>
          </cell>
          <cell r="F1436" t="str">
            <v>Transporte</v>
          </cell>
          <cell r="G1436">
            <v>2026</v>
          </cell>
          <cell r="H1436" t="str">
            <v>Q2</v>
          </cell>
          <cell r="I1436" t="str">
            <v>Nathaly Allcca</v>
          </cell>
          <cell r="J1436" t="str">
            <v>RFI</v>
          </cell>
          <cell r="K1436">
            <v>46066</v>
          </cell>
        </row>
        <row r="1437">
          <cell r="B1437" t="str">
            <v>TX_CRA2026_580</v>
          </cell>
          <cell r="C1437" t="str">
            <v>0106165_LM_Calle_Mariategui_0100154_LM_200_Millas</v>
          </cell>
          <cell r="D1437" t="str">
            <v>M0850</v>
          </cell>
          <cell r="E1437" t="str">
            <v>CRA MOVIL 2026</v>
          </cell>
          <cell r="F1437" t="str">
            <v>Transporte</v>
          </cell>
          <cell r="G1437">
            <v>2026</v>
          </cell>
          <cell r="H1437" t="str">
            <v>Q2</v>
          </cell>
          <cell r="I1437" t="str">
            <v>Nathaly Allcca</v>
          </cell>
          <cell r="J1437" t="str">
            <v>RFI</v>
          </cell>
          <cell r="K1437">
            <v>46066</v>
          </cell>
        </row>
        <row r="1438">
          <cell r="B1438" t="str">
            <v>TX_CRA2026_581</v>
          </cell>
          <cell r="C1438" t="str">
            <v>0100227_LM_La_Concordia_0100369_LM_Universidad_UNTEC</v>
          </cell>
          <cell r="D1438" t="str">
            <v>M0850</v>
          </cell>
          <cell r="E1438" t="str">
            <v>CRA MOVIL 2026</v>
          </cell>
          <cell r="F1438" t="str">
            <v>Transporte</v>
          </cell>
          <cell r="G1438">
            <v>2026</v>
          </cell>
          <cell r="H1438" t="str">
            <v>Q2</v>
          </cell>
          <cell r="I1438" t="str">
            <v>Nathaly Allcca</v>
          </cell>
          <cell r="J1438" t="str">
            <v>RFI</v>
          </cell>
          <cell r="K1438">
            <v>46066</v>
          </cell>
        </row>
        <row r="1439">
          <cell r="B1439" t="str">
            <v>TX_CRA2026_582</v>
          </cell>
          <cell r="C1439" t="str">
            <v>0105925_LM_Buenaventura_Aguirr_0100167_LM_Larco</v>
          </cell>
          <cell r="D1439" t="str">
            <v>M0850</v>
          </cell>
          <cell r="E1439" t="str">
            <v>CRA MOVIL 2026</v>
          </cell>
          <cell r="F1439" t="str">
            <v>Transporte</v>
          </cell>
          <cell r="G1439">
            <v>2026</v>
          </cell>
          <cell r="H1439" t="str">
            <v>Q2</v>
          </cell>
          <cell r="I1439" t="str">
            <v>Nathaly Allcca</v>
          </cell>
          <cell r="J1439" t="str">
            <v>RFI</v>
          </cell>
          <cell r="K1439">
            <v>46066</v>
          </cell>
        </row>
        <row r="1440">
          <cell r="B1440" t="str">
            <v>TX_CRA2026_583</v>
          </cell>
          <cell r="C1440" t="str">
            <v>0106187_LM_Mega_Plaza_Express_0106188_LM_Kamana_Villa</v>
          </cell>
          <cell r="D1440" t="str">
            <v>M0850</v>
          </cell>
          <cell r="E1440" t="str">
            <v>CRA MOVIL 2026</v>
          </cell>
          <cell r="F1440" t="str">
            <v>Transporte</v>
          </cell>
          <cell r="G1440">
            <v>2026</v>
          </cell>
          <cell r="H1440" t="str">
            <v>Q2</v>
          </cell>
          <cell r="I1440" t="str">
            <v>Nathaly Allcca</v>
          </cell>
          <cell r="J1440" t="str">
            <v>RFI</v>
          </cell>
          <cell r="K1440">
            <v>46066</v>
          </cell>
        </row>
        <row r="1441">
          <cell r="B1441" t="str">
            <v>TX_CRA2026_584</v>
          </cell>
          <cell r="C1441" t="str">
            <v>0105660_LM_Sector_Iii_0100201_LM_Mega_Plaza</v>
          </cell>
          <cell r="D1441" t="str">
            <v>M0850</v>
          </cell>
          <cell r="E1441" t="str">
            <v>CRA MOVIL 2026</v>
          </cell>
          <cell r="F1441" t="str">
            <v>Transporte</v>
          </cell>
          <cell r="G1441">
            <v>2026</v>
          </cell>
          <cell r="H1441" t="str">
            <v>Q2</v>
          </cell>
          <cell r="I1441" t="str">
            <v>Nathaly Allcca</v>
          </cell>
          <cell r="J1441" t="str">
            <v>RFI</v>
          </cell>
          <cell r="K1441">
            <v>46066</v>
          </cell>
        </row>
        <row r="1442">
          <cell r="B1442" t="str">
            <v>TX_CRA2026_585</v>
          </cell>
          <cell r="C1442" t="str">
            <v>0106115_LM_Sodimac_San_Miguel_0100017_LM_Plaza_San_Miguel</v>
          </cell>
          <cell r="D1442" t="str">
            <v>M0850</v>
          </cell>
          <cell r="E1442" t="str">
            <v>CRA MOVIL 2026</v>
          </cell>
          <cell r="F1442" t="str">
            <v>Transporte</v>
          </cell>
          <cell r="G1442">
            <v>2026</v>
          </cell>
          <cell r="H1442" t="str">
            <v>Q2</v>
          </cell>
          <cell r="I1442" t="str">
            <v>Nathaly Allcca</v>
          </cell>
          <cell r="J1442" t="str">
            <v>RFI</v>
          </cell>
          <cell r="K1442">
            <v>46066</v>
          </cell>
        </row>
        <row r="1443">
          <cell r="B1443" t="str">
            <v>TX_CRA2026_586</v>
          </cell>
          <cell r="C1443" t="str">
            <v>010171676_LM_Quinones_R1_0100178_LM_Coldex_R1</v>
          </cell>
          <cell r="D1443" t="str">
            <v>M0850</v>
          </cell>
          <cell r="E1443" t="str">
            <v>CRA MOVIL 2026</v>
          </cell>
          <cell r="F1443" t="str">
            <v>Transporte</v>
          </cell>
          <cell r="G1443">
            <v>2026</v>
          </cell>
          <cell r="H1443" t="str">
            <v>Q2</v>
          </cell>
          <cell r="I1443" t="str">
            <v>Nathaly Allcca</v>
          </cell>
          <cell r="J1443" t="str">
            <v>RFI</v>
          </cell>
          <cell r="K1443">
            <v>46066</v>
          </cell>
        </row>
        <row r="1444">
          <cell r="B1444" t="str">
            <v>TX_CRA2026_587</v>
          </cell>
          <cell r="C1444" t="str">
            <v>0100727_AN_Miramar_Alto_0100714_AN_Chimbote_Industria</v>
          </cell>
          <cell r="D1444" t="str">
            <v>M0850</v>
          </cell>
          <cell r="E1444" t="str">
            <v>CRA MOVIL 2026</v>
          </cell>
          <cell r="F1444" t="str">
            <v>Transporte</v>
          </cell>
          <cell r="G1444">
            <v>2026</v>
          </cell>
          <cell r="H1444" t="str">
            <v>Q2</v>
          </cell>
          <cell r="I1444" t="str">
            <v>Nathaly Allcca</v>
          </cell>
          <cell r="J1444" t="str">
            <v>RFI</v>
          </cell>
          <cell r="K1444">
            <v>46066</v>
          </cell>
        </row>
        <row r="1445">
          <cell r="B1445" t="str">
            <v>TX_CRA2026_588</v>
          </cell>
          <cell r="C1445" t="str">
            <v>0101586_CA_Chota to 0104748_CA_Edelmira</v>
          </cell>
          <cell r="D1445" t="str">
            <v>M0850</v>
          </cell>
          <cell r="E1445" t="str">
            <v>CRA MOVIL 2026</v>
          </cell>
          <cell r="F1445" t="str">
            <v>Transporte</v>
          </cell>
          <cell r="G1445">
            <v>2026</v>
          </cell>
          <cell r="H1445" t="str">
            <v>Q2</v>
          </cell>
          <cell r="I1445" t="str">
            <v>Nathaly Allcca</v>
          </cell>
          <cell r="J1445" t="str">
            <v>NO RFI</v>
          </cell>
          <cell r="K1445">
            <v>46066</v>
          </cell>
        </row>
        <row r="1446">
          <cell r="B1446" t="str">
            <v>TX_CRA2026_589</v>
          </cell>
          <cell r="C1446" t="str">
            <v>0104748_CA_Edelmira to PRONATEL - CHOTA</v>
          </cell>
          <cell r="D1446" t="str">
            <v>M0850</v>
          </cell>
          <cell r="E1446" t="str">
            <v>CRA MOVIL 2026</v>
          </cell>
          <cell r="F1446" t="str">
            <v>Transporte</v>
          </cell>
          <cell r="G1446">
            <v>2026</v>
          </cell>
          <cell r="H1446" t="str">
            <v>Q2</v>
          </cell>
          <cell r="I1446" t="str">
            <v>Nathaly Allcca</v>
          </cell>
          <cell r="J1446" t="str">
            <v>NO RFI</v>
          </cell>
          <cell r="K1446">
            <v>46066</v>
          </cell>
        </row>
        <row r="1447">
          <cell r="B1447" t="str">
            <v>TX_CRA2026_590</v>
          </cell>
          <cell r="C1447" t="str">
            <v>0101011_LA_Morrope_0101010_LA_Lambayeque</v>
          </cell>
          <cell r="D1447" t="str">
            <v>M0850</v>
          </cell>
          <cell r="E1447" t="str">
            <v>CRA MOVIL 2026</v>
          </cell>
          <cell r="F1447" t="str">
            <v>Transporte</v>
          </cell>
          <cell r="G1447">
            <v>2026</v>
          </cell>
          <cell r="H1447" t="str">
            <v>Q2</v>
          </cell>
          <cell r="I1447" t="str">
            <v>Nathaly Allcca</v>
          </cell>
          <cell r="J1447" t="str">
            <v>NO RFI</v>
          </cell>
          <cell r="K1447">
            <v>46066</v>
          </cell>
        </row>
        <row r="1448">
          <cell r="B1448" t="str">
            <v>TX_CRA2026_591</v>
          </cell>
          <cell r="C1448" t="str">
            <v>0100138_LM_Canevaro to 010252096_LM_Registros_Publicos_R1</v>
          </cell>
          <cell r="D1448" t="str">
            <v>M0850</v>
          </cell>
          <cell r="E1448" t="str">
            <v>CRA MOVIL 2026</v>
          </cell>
          <cell r="F1448" t="str">
            <v>Transporte</v>
          </cell>
          <cell r="G1448">
            <v>2026</v>
          </cell>
          <cell r="H1448" t="str">
            <v>Q2</v>
          </cell>
          <cell r="I1448" t="str">
            <v>Nathaly Allcca</v>
          </cell>
          <cell r="J1448" t="str">
            <v>NO RFI</v>
          </cell>
          <cell r="K1448">
            <v>46066</v>
          </cell>
        </row>
        <row r="1449">
          <cell r="B1449" t="str">
            <v>TX_CRA2026_592</v>
          </cell>
          <cell r="C1449" t="str">
            <v>0101005_LA_Chinchaysuyo to 0101059_LA_Mercado_Atusparias</v>
          </cell>
          <cell r="D1449" t="str">
            <v>M0850</v>
          </cell>
          <cell r="E1449" t="str">
            <v>CRA MOVIL 2026</v>
          </cell>
          <cell r="F1449" t="str">
            <v>Transporte</v>
          </cell>
          <cell r="G1449">
            <v>2026</v>
          </cell>
          <cell r="H1449" t="str">
            <v>Q2</v>
          </cell>
          <cell r="I1449" t="str">
            <v>Nathaly Allcca</v>
          </cell>
          <cell r="J1449" t="str">
            <v>NO RFI</v>
          </cell>
          <cell r="K1449">
            <v>46066</v>
          </cell>
        </row>
        <row r="1450">
          <cell r="B1450" t="str">
            <v>TX_CRA2026_593</v>
          </cell>
          <cell r="C1450" t="str">
            <v>0105487_LM_Av_Jupiter to 0143572_LM_PS_Pavayacu</v>
          </cell>
          <cell r="D1450" t="str">
            <v>M0850</v>
          </cell>
          <cell r="E1450" t="str">
            <v>CRA MOVIL 2026</v>
          </cell>
          <cell r="F1450" t="str">
            <v>Transporte</v>
          </cell>
          <cell r="G1450">
            <v>2026</v>
          </cell>
          <cell r="H1450" t="str">
            <v>Q2</v>
          </cell>
          <cell r="I1450" t="str">
            <v>Nathaly Allcca</v>
          </cell>
          <cell r="J1450" t="str">
            <v>NO RFI</v>
          </cell>
          <cell r="K1450">
            <v>46066</v>
          </cell>
        </row>
        <row r="1451">
          <cell r="B1451" t="str">
            <v>TX_CRA2026_594</v>
          </cell>
          <cell r="C1451" t="str">
            <v>0100449_LM_Pq_Ind_Lurin to 010250707_LM_Praderas_Lurin</v>
          </cell>
          <cell r="D1451" t="str">
            <v>M0850</v>
          </cell>
          <cell r="E1451" t="str">
            <v>CRA MOVIL 2026</v>
          </cell>
          <cell r="F1451" t="str">
            <v>Transporte</v>
          </cell>
          <cell r="G1451">
            <v>2026</v>
          </cell>
          <cell r="H1451" t="str">
            <v>Q2</v>
          </cell>
          <cell r="I1451" t="str">
            <v>Nathaly Allcca</v>
          </cell>
          <cell r="J1451" t="str">
            <v>NO RFI</v>
          </cell>
          <cell r="K1451">
            <v>46066</v>
          </cell>
        </row>
        <row r="1452">
          <cell r="B1452" t="str">
            <v>TX_CRA2026_595</v>
          </cell>
          <cell r="C1452" t="str">
            <v>0100095_LM_Bella_Union to 010254731_LM_El_Foquito</v>
          </cell>
          <cell r="D1452" t="str">
            <v>M0850</v>
          </cell>
          <cell r="E1452" t="str">
            <v>CRA MOVIL 2026</v>
          </cell>
          <cell r="F1452" t="str">
            <v>Transporte</v>
          </cell>
          <cell r="G1452">
            <v>2026</v>
          </cell>
          <cell r="H1452" t="str">
            <v>Q2</v>
          </cell>
          <cell r="I1452" t="str">
            <v>Nathaly Allcca</v>
          </cell>
          <cell r="J1452" t="str">
            <v>NO RFI</v>
          </cell>
          <cell r="K1452">
            <v>46066</v>
          </cell>
        </row>
        <row r="1453">
          <cell r="B1453" t="str">
            <v>TX_CRA2026_596</v>
          </cell>
          <cell r="C1453" t="str">
            <v>0100071_LM_Las_Lilas to 010253701_LM_Meliton_Carbajal_R1</v>
          </cell>
          <cell r="D1453" t="str">
            <v>M0850</v>
          </cell>
          <cell r="E1453" t="str">
            <v>CRA MOVIL 2026</v>
          </cell>
          <cell r="F1453" t="str">
            <v>Transporte</v>
          </cell>
          <cell r="G1453">
            <v>2026</v>
          </cell>
          <cell r="H1453" t="str">
            <v>Q2</v>
          </cell>
          <cell r="I1453" t="str">
            <v>Nathaly Allcca</v>
          </cell>
          <cell r="J1453" t="str">
            <v>NO RFI</v>
          </cell>
          <cell r="K1453">
            <v>46066</v>
          </cell>
        </row>
        <row r="1454">
          <cell r="B1454" t="str">
            <v>TX_CRA2026_597</v>
          </cell>
          <cell r="C1454" t="str">
            <v>0105561_LM_Chuquilbamba to 010251048_LM_Almendras_Huascar</v>
          </cell>
          <cell r="D1454" t="str">
            <v>M0850</v>
          </cell>
          <cell r="E1454" t="str">
            <v>CRA MOVIL 2026</v>
          </cell>
          <cell r="F1454" t="str">
            <v>Transporte</v>
          </cell>
          <cell r="G1454">
            <v>2026</v>
          </cell>
          <cell r="H1454" t="str">
            <v>Q2</v>
          </cell>
          <cell r="I1454" t="str">
            <v>Nathaly Allcca</v>
          </cell>
          <cell r="J1454" t="str">
            <v>NO RFI</v>
          </cell>
          <cell r="K1454">
            <v>46066</v>
          </cell>
        </row>
        <row r="1455">
          <cell r="B1455" t="str">
            <v>TX_CRA2026_598</v>
          </cell>
          <cell r="C1455" t="str">
            <v>0100006_LM_Colon to 010174618_LM_Ruggia</v>
          </cell>
          <cell r="D1455" t="str">
            <v>M0850</v>
          </cell>
          <cell r="E1455" t="str">
            <v>CRA MOVIL 2026</v>
          </cell>
          <cell r="F1455" t="str">
            <v>Transporte</v>
          </cell>
          <cell r="G1455">
            <v>2026</v>
          </cell>
          <cell r="H1455" t="str">
            <v>Q2</v>
          </cell>
          <cell r="I1455" t="str">
            <v>Nathaly Allcca</v>
          </cell>
          <cell r="J1455" t="str">
            <v>NO RFI</v>
          </cell>
          <cell r="K1455">
            <v>46066</v>
          </cell>
        </row>
        <row r="1456">
          <cell r="B1456" t="str">
            <v>TX_CRA2026_599</v>
          </cell>
          <cell r="C1456" t="str">
            <v>0102732_LM_HB_Chartered_AMT to 0106414_LM_IB_Saga_San_Isidro</v>
          </cell>
          <cell r="D1456" t="str">
            <v>M0850</v>
          </cell>
          <cell r="E1456" t="str">
            <v>CRA MOVIL 2026</v>
          </cell>
          <cell r="F1456" t="str">
            <v>Transporte</v>
          </cell>
          <cell r="G1456">
            <v>2026</v>
          </cell>
          <cell r="H1456" t="str">
            <v>Q2</v>
          </cell>
          <cell r="I1456" t="str">
            <v>Nathaly Allcca</v>
          </cell>
          <cell r="J1456" t="str">
            <v>NO RFI</v>
          </cell>
          <cell r="K1456">
            <v>46066</v>
          </cell>
        </row>
        <row r="1457">
          <cell r="B1457" t="str">
            <v>TX_CRA2026_600</v>
          </cell>
          <cell r="C1457" t="str">
            <v>0100121_LM_Alfonso_Ugarte to 0106324_LM_Pariacoto</v>
          </cell>
          <cell r="D1457" t="str">
            <v>M0850</v>
          </cell>
          <cell r="E1457" t="str">
            <v>CRA MOVIL 2026</v>
          </cell>
          <cell r="F1457" t="str">
            <v>Transporte</v>
          </cell>
          <cell r="G1457">
            <v>2026</v>
          </cell>
          <cell r="H1457" t="str">
            <v>Q2</v>
          </cell>
          <cell r="I1457" t="str">
            <v>Nathaly Allcca</v>
          </cell>
          <cell r="J1457" t="str">
            <v>NO RFI</v>
          </cell>
          <cell r="K1457">
            <v>46066</v>
          </cell>
        </row>
        <row r="1458">
          <cell r="B1458" t="str">
            <v>TX_CRA2026_601</v>
          </cell>
          <cell r="C1458" t="str">
            <v>0100398_LM_Canete to 0106261_LM_Canete_Plaza</v>
          </cell>
          <cell r="D1458" t="str">
            <v>M0850</v>
          </cell>
          <cell r="E1458" t="str">
            <v>CRA MOVIL 2026</v>
          </cell>
          <cell r="F1458" t="str">
            <v>Transporte</v>
          </cell>
          <cell r="G1458">
            <v>2026</v>
          </cell>
          <cell r="H1458" t="str">
            <v>Q2</v>
          </cell>
          <cell r="I1458" t="str">
            <v>Nathaly Allcca</v>
          </cell>
          <cell r="J1458" t="str">
            <v>NO RFI</v>
          </cell>
          <cell r="K1458">
            <v>46066</v>
          </cell>
        </row>
        <row r="1459">
          <cell r="B1459" t="str">
            <v>TX_CRA2026_602</v>
          </cell>
          <cell r="C1459" t="str">
            <v>0105359_LM_Paseo_Quilca to 0105473_LM_Albino_Herrera</v>
          </cell>
          <cell r="D1459" t="str">
            <v>M0850</v>
          </cell>
          <cell r="E1459" t="str">
            <v>CRA MOVIL 2026</v>
          </cell>
          <cell r="F1459" t="str">
            <v>Transporte</v>
          </cell>
          <cell r="G1459">
            <v>2026</v>
          </cell>
          <cell r="H1459" t="str">
            <v>Q2</v>
          </cell>
          <cell r="I1459" t="str">
            <v>Nathaly Allcca</v>
          </cell>
          <cell r="J1459" t="str">
            <v>NO RFI</v>
          </cell>
          <cell r="K1459">
            <v>46066</v>
          </cell>
        </row>
        <row r="1460">
          <cell r="B1460" t="str">
            <v>TX_CRA2026_603</v>
          </cell>
          <cell r="C1460" t="str">
            <v>0105665_LM_Alberto_Gallardo to 0105793_LM_Las_Malvinas_R1</v>
          </cell>
          <cell r="D1460" t="str">
            <v>M0850</v>
          </cell>
          <cell r="E1460" t="str">
            <v>CRA MOVIL 2026</v>
          </cell>
          <cell r="F1460" t="str">
            <v>Transporte</v>
          </cell>
          <cell r="G1460">
            <v>2026</v>
          </cell>
          <cell r="H1460" t="str">
            <v>Q2</v>
          </cell>
          <cell r="I1460" t="str">
            <v>Nathaly Allcca</v>
          </cell>
          <cell r="J1460" t="str">
            <v>NO RFI</v>
          </cell>
          <cell r="K1460">
            <v>46066</v>
          </cell>
        </row>
        <row r="1461">
          <cell r="B1461" t="str">
            <v>TX_CRA2026_604</v>
          </cell>
          <cell r="C1461" t="str">
            <v>0100522_LM_MSO_San_Borja to 0104987_LM_IB_La_Rambla</v>
          </cell>
          <cell r="D1461" t="str">
            <v>M0850</v>
          </cell>
          <cell r="E1461" t="str">
            <v>CRA MOVIL 2026</v>
          </cell>
          <cell r="F1461" t="str">
            <v>Transporte</v>
          </cell>
          <cell r="G1461">
            <v>2026</v>
          </cell>
          <cell r="H1461" t="str">
            <v>Q2</v>
          </cell>
          <cell r="I1461" t="str">
            <v>Nathaly Allcca</v>
          </cell>
          <cell r="J1461" t="str">
            <v>NO RFI</v>
          </cell>
          <cell r="K1461">
            <v>46066</v>
          </cell>
        </row>
        <row r="1462">
          <cell r="B1462" t="str">
            <v>TX_CRA2026_605</v>
          </cell>
          <cell r="C1462" t="str">
            <v>0100368_LM_Asia to 0104555_LM_Costa_Sol_Asia</v>
          </cell>
          <cell r="D1462" t="str">
            <v>M0850</v>
          </cell>
          <cell r="E1462" t="str">
            <v>CRA MOVIL 2026</v>
          </cell>
          <cell r="F1462" t="str">
            <v>Transporte</v>
          </cell>
          <cell r="G1462">
            <v>2026</v>
          </cell>
          <cell r="H1462" t="str">
            <v>Q2</v>
          </cell>
          <cell r="I1462" t="str">
            <v>Nathaly Allcca</v>
          </cell>
          <cell r="J1462" t="str">
            <v>NO RFI</v>
          </cell>
          <cell r="K1462">
            <v>46066</v>
          </cell>
        </row>
        <row r="1463">
          <cell r="B1463" t="str">
            <v>TX_CRA2026_606</v>
          </cell>
          <cell r="C1463" t="str">
            <v>0100492_LM_Pamplona_Baja to 0104521_LM_Mariano_Campos</v>
          </cell>
          <cell r="D1463" t="str">
            <v>M0850</v>
          </cell>
          <cell r="E1463" t="str">
            <v>CRA MOVIL 2026</v>
          </cell>
          <cell r="F1463" t="str">
            <v>Transporte</v>
          </cell>
          <cell r="G1463">
            <v>2026</v>
          </cell>
          <cell r="H1463" t="str">
            <v>Q2</v>
          </cell>
          <cell r="I1463" t="str">
            <v>Nathaly Allcca</v>
          </cell>
          <cell r="J1463" t="str">
            <v>NO RFI</v>
          </cell>
          <cell r="K1463">
            <v>46066</v>
          </cell>
        </row>
        <row r="1464">
          <cell r="B1464" t="str">
            <v>TX_CRA2026_607</v>
          </cell>
          <cell r="C1464" t="str">
            <v>0100148_LM_Jockey_Plaza to 0100525_LM_Universidad_de_Lima</v>
          </cell>
          <cell r="D1464" t="str">
            <v>M0850</v>
          </cell>
          <cell r="E1464" t="str">
            <v>CRA MOVIL 2026</v>
          </cell>
          <cell r="F1464" t="str">
            <v>Transporte</v>
          </cell>
          <cell r="G1464">
            <v>2026</v>
          </cell>
          <cell r="H1464" t="str">
            <v>Q2</v>
          </cell>
          <cell r="I1464" t="str">
            <v>Nathaly Allcca</v>
          </cell>
          <cell r="J1464" t="str">
            <v>NO RFI</v>
          </cell>
          <cell r="K1464">
            <v>46066</v>
          </cell>
        </row>
        <row r="1465">
          <cell r="B1465" t="str">
            <v>TX_CRA2026_608</v>
          </cell>
          <cell r="C1465" t="str">
            <v>0100020_LM_Agatas to 0100261_LM_Mexico</v>
          </cell>
          <cell r="D1465" t="str">
            <v>M0850</v>
          </cell>
          <cell r="E1465" t="str">
            <v>CRA MOVIL 2026</v>
          </cell>
          <cell r="F1465" t="str">
            <v>Transporte</v>
          </cell>
          <cell r="G1465">
            <v>2026</v>
          </cell>
          <cell r="H1465" t="str">
            <v>Q2</v>
          </cell>
          <cell r="I1465" t="str">
            <v>Nathaly Allcca</v>
          </cell>
          <cell r="J1465" t="str">
            <v>NO RFI</v>
          </cell>
          <cell r="K1465">
            <v>46066</v>
          </cell>
        </row>
        <row r="1466">
          <cell r="B1466" t="str">
            <v>TX_CRA2026_609</v>
          </cell>
          <cell r="C1466" t="str">
            <v>0101301_CS_Wanchaq to 010182339_CS_Alto_Incas</v>
          </cell>
          <cell r="D1466" t="str">
            <v>M0850</v>
          </cell>
          <cell r="E1466" t="str">
            <v>CRA MOVIL 2026</v>
          </cell>
          <cell r="F1466" t="str">
            <v>Transporte</v>
          </cell>
          <cell r="G1466">
            <v>2026</v>
          </cell>
          <cell r="H1466" t="str">
            <v>Q2</v>
          </cell>
          <cell r="I1466" t="str">
            <v>Nathaly Allcca</v>
          </cell>
          <cell r="J1466" t="str">
            <v>NO RFI</v>
          </cell>
          <cell r="K1466">
            <v>46066</v>
          </cell>
        </row>
        <row r="1467">
          <cell r="B1467" t="str">
            <v>TX_CRA2026_610</v>
          </cell>
          <cell r="C1467" t="str">
            <v>0101347_CS_TTIO to 010182344_CS_Wimpillay</v>
          </cell>
          <cell r="D1467" t="str">
            <v>M0850</v>
          </cell>
          <cell r="E1467" t="str">
            <v>CRA MOVIL 2026</v>
          </cell>
          <cell r="F1467" t="str">
            <v>Transporte</v>
          </cell>
          <cell r="G1467">
            <v>2026</v>
          </cell>
          <cell r="H1467" t="str">
            <v>Q2</v>
          </cell>
          <cell r="I1467" t="str">
            <v>Nathaly Allcca</v>
          </cell>
          <cell r="J1467" t="str">
            <v>NO RFI</v>
          </cell>
          <cell r="K1467">
            <v>46066</v>
          </cell>
        </row>
        <row r="1468">
          <cell r="B1468" t="str">
            <v>TX_CRA2026_611</v>
          </cell>
          <cell r="C1468" t="str">
            <v>0101324_CS_Instituto_Tupac_Amaru to 010182351_CS_Villa_Palmeras</v>
          </cell>
          <cell r="D1468" t="str">
            <v>M0850</v>
          </cell>
          <cell r="E1468" t="str">
            <v>CRA MOVIL 2026</v>
          </cell>
          <cell r="F1468" t="str">
            <v>Transporte</v>
          </cell>
          <cell r="G1468">
            <v>2026</v>
          </cell>
          <cell r="H1468" t="str">
            <v>Q2</v>
          </cell>
          <cell r="I1468" t="str">
            <v>Nathaly Allcca</v>
          </cell>
          <cell r="J1468" t="str">
            <v>NO RFI</v>
          </cell>
          <cell r="K1468">
            <v>46066</v>
          </cell>
        </row>
        <row r="1469">
          <cell r="B1469" t="str">
            <v>TX_CRA2026_612</v>
          </cell>
          <cell r="C1469" t="str">
            <v>0101347_CS_TTIO to 0101346_CS_Mayuorco</v>
          </cell>
          <cell r="D1469" t="str">
            <v>M0850</v>
          </cell>
          <cell r="E1469" t="str">
            <v>CRA MOVIL 2026</v>
          </cell>
          <cell r="F1469" t="str">
            <v>Transporte</v>
          </cell>
          <cell r="G1469">
            <v>2026</v>
          </cell>
          <cell r="H1469" t="str">
            <v>Q2</v>
          </cell>
          <cell r="I1469" t="str">
            <v>Nathaly Allcca</v>
          </cell>
          <cell r="J1469" t="str">
            <v>NO RFI</v>
          </cell>
          <cell r="K1469">
            <v>46066</v>
          </cell>
        </row>
        <row r="1470">
          <cell r="B1470" t="str">
            <v>TX_CRA2026_613</v>
          </cell>
          <cell r="C1470" t="str">
            <v>0101314_CS_Sol_de_Oro to 0101368_CS_Los_Retamales</v>
          </cell>
          <cell r="D1470" t="str">
            <v>M0850</v>
          </cell>
          <cell r="E1470" t="str">
            <v>CRA MOVIL 2026</v>
          </cell>
          <cell r="F1470" t="str">
            <v>Transporte</v>
          </cell>
          <cell r="G1470">
            <v>2026</v>
          </cell>
          <cell r="H1470" t="str">
            <v>Q2</v>
          </cell>
          <cell r="I1470" t="str">
            <v>Nathaly Allcca</v>
          </cell>
          <cell r="J1470" t="str">
            <v>NO RFI</v>
          </cell>
          <cell r="K1470">
            <v>46066</v>
          </cell>
        </row>
        <row r="1471">
          <cell r="B1471" t="str">
            <v>TX_CRA2026_614</v>
          </cell>
          <cell r="C1471" t="str">
            <v>0101335_CS_Av_Libertad to 0101333_CS_Obregosa</v>
          </cell>
          <cell r="D1471" t="str">
            <v>M0850</v>
          </cell>
          <cell r="E1471" t="str">
            <v>CRA MOVIL 2026</v>
          </cell>
          <cell r="F1471" t="str">
            <v>Transporte</v>
          </cell>
          <cell r="G1471">
            <v>2026</v>
          </cell>
          <cell r="H1471" t="str">
            <v>Q2</v>
          </cell>
          <cell r="I1471" t="str">
            <v>Nathaly Allcca</v>
          </cell>
          <cell r="J1471" t="str">
            <v>NO RFI</v>
          </cell>
          <cell r="K1471">
            <v>46066</v>
          </cell>
        </row>
        <row r="1472">
          <cell r="B1472" t="str">
            <v>TX_CRA2026_615</v>
          </cell>
          <cell r="C1472" t="str">
            <v>0100385_LM_Barranca to 0106217_LM_Independencia_Barra</v>
          </cell>
          <cell r="D1472" t="str">
            <v>M0850</v>
          </cell>
          <cell r="E1472" t="str">
            <v>CRA MOVIL 2026</v>
          </cell>
          <cell r="F1472" t="str">
            <v>Transporte</v>
          </cell>
          <cell r="G1472">
            <v>2026</v>
          </cell>
          <cell r="H1472" t="str">
            <v>Q2</v>
          </cell>
          <cell r="I1472" t="str">
            <v>Nathaly Allcca</v>
          </cell>
          <cell r="J1472" t="str">
            <v>NO RFI</v>
          </cell>
          <cell r="K1472">
            <v>46066</v>
          </cell>
        </row>
        <row r="1473">
          <cell r="B1473" t="str">
            <v>TX_CRA2026_616</v>
          </cell>
          <cell r="C1473" t="str">
            <v>0100377_LM_Huaral to 010252579_LM_Quepepampa</v>
          </cell>
          <cell r="D1473" t="str">
            <v>M0850</v>
          </cell>
          <cell r="E1473" t="str">
            <v>CRA MOVIL 2026</v>
          </cell>
          <cell r="F1473" t="str">
            <v>Transporte</v>
          </cell>
          <cell r="G1473">
            <v>2026</v>
          </cell>
          <cell r="H1473" t="str">
            <v>Q2</v>
          </cell>
          <cell r="I1473" t="str">
            <v>Nathaly Allcca</v>
          </cell>
          <cell r="J1473" t="str">
            <v>NO RFI</v>
          </cell>
          <cell r="K1473">
            <v>46066</v>
          </cell>
        </row>
        <row r="1474">
          <cell r="B1474" t="str">
            <v>TX_CRA2026_617</v>
          </cell>
          <cell r="C1474" t="str">
            <v>0100376_LM_Chancay to 0106269_LM_Los_Alisos_Chancay</v>
          </cell>
          <cell r="D1474" t="str">
            <v>M0850</v>
          </cell>
          <cell r="E1474" t="str">
            <v>CRA MOVIL 2026</v>
          </cell>
          <cell r="F1474" t="str">
            <v>Transporte</v>
          </cell>
          <cell r="G1474">
            <v>2026</v>
          </cell>
          <cell r="H1474" t="str">
            <v>Q2</v>
          </cell>
          <cell r="I1474" t="str">
            <v>Nathaly Allcca</v>
          </cell>
          <cell r="J1474" t="str">
            <v>NO RFI</v>
          </cell>
          <cell r="K1474">
            <v>46066</v>
          </cell>
        </row>
        <row r="1475">
          <cell r="B1475" t="str">
            <v>TX_CRA2026_618</v>
          </cell>
          <cell r="C1475" t="str">
            <v>0100377_LM_Huaral to 0105935_LM_Huaral_Norte</v>
          </cell>
          <cell r="D1475" t="str">
            <v>M0850</v>
          </cell>
          <cell r="E1475" t="str">
            <v>CRA MOVIL 2026</v>
          </cell>
          <cell r="F1475" t="str">
            <v>Transporte</v>
          </cell>
          <cell r="G1475">
            <v>2026</v>
          </cell>
          <cell r="H1475" t="str">
            <v>Q2</v>
          </cell>
          <cell r="I1475" t="str">
            <v>Nathaly Allcca</v>
          </cell>
          <cell r="J1475" t="str">
            <v>NO RFI</v>
          </cell>
          <cell r="K1475">
            <v>46066</v>
          </cell>
        </row>
        <row r="1476">
          <cell r="B1476" t="str">
            <v>TX_CRA2026_619</v>
          </cell>
          <cell r="C1476" t="str">
            <v>0100374_LM_Zapallal to 0105284_LM_Asociacion_Santa</v>
          </cell>
          <cell r="D1476" t="str">
            <v>M0850</v>
          </cell>
          <cell r="E1476" t="str">
            <v>CRA MOVIL 2026</v>
          </cell>
          <cell r="F1476" t="str">
            <v>Transporte</v>
          </cell>
          <cell r="G1476">
            <v>2026</v>
          </cell>
          <cell r="H1476" t="str">
            <v>Q2</v>
          </cell>
          <cell r="I1476" t="str">
            <v>Nathaly Allcca</v>
          </cell>
          <cell r="J1476" t="str">
            <v>NO RFI</v>
          </cell>
          <cell r="K1476">
            <v>46066</v>
          </cell>
        </row>
        <row r="1477">
          <cell r="B1477" t="str">
            <v>TX_CRA2026_620</v>
          </cell>
          <cell r="C1477" t="str">
            <v>0100386_LM_Huaura to 0105710_LM_Puquio_Cano</v>
          </cell>
          <cell r="D1477" t="str">
            <v>M0850</v>
          </cell>
          <cell r="E1477" t="str">
            <v>CRA MOVIL 2026</v>
          </cell>
          <cell r="F1477" t="str">
            <v>Transporte</v>
          </cell>
          <cell r="G1477">
            <v>2026</v>
          </cell>
          <cell r="H1477" t="str">
            <v>Q2</v>
          </cell>
          <cell r="I1477" t="str">
            <v>Nathaly Allcca</v>
          </cell>
          <cell r="J1477" t="str">
            <v>NO RFI</v>
          </cell>
          <cell r="K1477">
            <v>46066</v>
          </cell>
        </row>
        <row r="1478">
          <cell r="B1478" t="str">
            <v>TX_CRA2026_621</v>
          </cell>
          <cell r="C1478" t="str">
            <v>0100386_LM_Huaura to 0100257_LM_Huacho_Norte</v>
          </cell>
          <cell r="D1478" t="str">
            <v>M0850</v>
          </cell>
          <cell r="E1478" t="str">
            <v>CRA MOVIL 2026</v>
          </cell>
          <cell r="F1478" t="str">
            <v>Transporte</v>
          </cell>
          <cell r="G1478">
            <v>2026</v>
          </cell>
          <cell r="H1478" t="str">
            <v>Q2</v>
          </cell>
          <cell r="I1478" t="str">
            <v>Nathaly Allcca</v>
          </cell>
          <cell r="J1478" t="str">
            <v>NO RFI</v>
          </cell>
          <cell r="K1478">
            <v>46066</v>
          </cell>
        </row>
        <row r="1479">
          <cell r="B1479" t="str">
            <v>TX_CRA2026_622</v>
          </cell>
          <cell r="C1479" t="str">
            <v>0100907_AQ_Zamacola to 0103931_AQ_Zamacola_Centro</v>
          </cell>
          <cell r="D1479" t="str">
            <v>M0850</v>
          </cell>
          <cell r="E1479" t="str">
            <v>CRA MOVIL 2026</v>
          </cell>
          <cell r="F1479" t="str">
            <v>Transporte</v>
          </cell>
          <cell r="G1479">
            <v>2026</v>
          </cell>
          <cell r="H1479" t="str">
            <v>Q2</v>
          </cell>
          <cell r="I1479" t="str">
            <v>Nathaly Allcca</v>
          </cell>
          <cell r="J1479" t="str">
            <v>NO RFI</v>
          </cell>
          <cell r="K1479">
            <v>46066</v>
          </cell>
        </row>
        <row r="1480">
          <cell r="B1480" t="str">
            <v>TX_CRA2026_623</v>
          </cell>
          <cell r="C1480" t="str">
            <v>0101405_PN_Llallahuani to 0102804_PN_Progreso</v>
          </cell>
          <cell r="D1480" t="str">
            <v>M0850</v>
          </cell>
          <cell r="E1480" t="str">
            <v>CRA MOVIL 2026</v>
          </cell>
          <cell r="F1480" t="str">
            <v>Transporte</v>
          </cell>
          <cell r="G1480">
            <v>2026</v>
          </cell>
          <cell r="H1480" t="str">
            <v>Q2</v>
          </cell>
          <cell r="I1480" t="str">
            <v>Nathaly Allcca</v>
          </cell>
          <cell r="J1480" t="str">
            <v>NO RFI</v>
          </cell>
          <cell r="K1480">
            <v>46066</v>
          </cell>
        </row>
        <row r="1481">
          <cell r="B1481" t="str">
            <v>TX_CRA2026_624</v>
          </cell>
          <cell r="C1481" t="str">
            <v>0101405_PN_Llallahuani to 0102803_PN_Terminal_Puno</v>
          </cell>
          <cell r="D1481" t="str">
            <v>M0850</v>
          </cell>
          <cell r="E1481" t="str">
            <v>CRA MOVIL 2026</v>
          </cell>
          <cell r="F1481" t="str">
            <v>Transporte</v>
          </cell>
          <cell r="G1481">
            <v>2026</v>
          </cell>
          <cell r="H1481" t="str">
            <v>Q2</v>
          </cell>
          <cell r="I1481" t="str">
            <v>Nathaly Allcca</v>
          </cell>
          <cell r="J1481" t="str">
            <v>NO RFI</v>
          </cell>
          <cell r="K1481">
            <v>46066</v>
          </cell>
        </row>
        <row r="1482">
          <cell r="B1482" t="str">
            <v>TX_CRA2026_625</v>
          </cell>
          <cell r="C1482" t="str">
            <v>0100908_AQ_Yanahuara to 0101661_AQ_Paulet_AQP</v>
          </cell>
          <cell r="D1482" t="str">
            <v>M0850</v>
          </cell>
          <cell r="E1482" t="str">
            <v>CRA MOVIL 2026</v>
          </cell>
          <cell r="F1482" t="str">
            <v>Transporte</v>
          </cell>
          <cell r="G1482">
            <v>2026</v>
          </cell>
          <cell r="H1482" t="str">
            <v>Q2</v>
          </cell>
          <cell r="I1482" t="str">
            <v>Nathaly Allcca</v>
          </cell>
          <cell r="J1482" t="str">
            <v>NO RFI</v>
          </cell>
          <cell r="K1482">
            <v>46066</v>
          </cell>
        </row>
        <row r="1483">
          <cell r="B1483" t="str">
            <v>TX_CRA2026_626</v>
          </cell>
          <cell r="C1483" t="str">
            <v>0101489_PN_Triunfo_Juliaca to 0101458_PN_Juliaca_Ballon</v>
          </cell>
          <cell r="D1483" t="str">
            <v>M0850</v>
          </cell>
          <cell r="E1483" t="str">
            <v>CRA MOVIL 2026</v>
          </cell>
          <cell r="F1483" t="str">
            <v>Transporte</v>
          </cell>
          <cell r="G1483">
            <v>2026</v>
          </cell>
          <cell r="H1483" t="str">
            <v>Q2</v>
          </cell>
          <cell r="I1483" t="str">
            <v>Nathaly Allcca</v>
          </cell>
          <cell r="J1483" t="str">
            <v>NO RFI</v>
          </cell>
          <cell r="K1483">
            <v>46066</v>
          </cell>
        </row>
        <row r="1484">
          <cell r="B1484" t="str">
            <v>TX_CRA2026_627</v>
          </cell>
          <cell r="C1484" t="str">
            <v>0101489_PN_Triunfo_Juliaca to 0101456_PN_Pacifico_Juliaca</v>
          </cell>
          <cell r="D1484" t="str">
            <v>M0850</v>
          </cell>
          <cell r="E1484" t="str">
            <v>CRA MOVIL 2026</v>
          </cell>
          <cell r="F1484" t="str">
            <v>Transporte</v>
          </cell>
          <cell r="G1484">
            <v>2026</v>
          </cell>
          <cell r="H1484" t="str">
            <v>Q2</v>
          </cell>
          <cell r="I1484" t="str">
            <v>Nathaly Allcca</v>
          </cell>
          <cell r="J1484" t="str">
            <v>NO RFI</v>
          </cell>
          <cell r="K1484">
            <v>46066</v>
          </cell>
        </row>
        <row r="1485">
          <cell r="B1485" t="str">
            <v>TX_CRA2026_628</v>
          </cell>
          <cell r="C1485" t="str">
            <v>0101207_TA_Cerro_Para to 0101241_TA_Plaza_Las_Americas</v>
          </cell>
          <cell r="D1485" t="str">
            <v>M0850</v>
          </cell>
          <cell r="E1485" t="str">
            <v>CRA MOVIL 2026</v>
          </cell>
          <cell r="F1485" t="str">
            <v>Transporte</v>
          </cell>
          <cell r="G1485">
            <v>2026</v>
          </cell>
          <cell r="H1485" t="str">
            <v>Q2</v>
          </cell>
          <cell r="I1485" t="str">
            <v>Nathaly Allcca</v>
          </cell>
          <cell r="J1485" t="str">
            <v>NO RFI</v>
          </cell>
          <cell r="K1485">
            <v>46066</v>
          </cell>
        </row>
        <row r="1486">
          <cell r="B1486" t="str">
            <v>TX_CRA2026_629</v>
          </cell>
          <cell r="C1486" t="str">
            <v>0100908_AQ_Yanahuara to 0100989_AQ_Tahuaycani</v>
          </cell>
          <cell r="D1486" t="str">
            <v>M0850</v>
          </cell>
          <cell r="E1486" t="str">
            <v>CRA MOVIL 2026</v>
          </cell>
          <cell r="F1486" t="str">
            <v>Transporte</v>
          </cell>
          <cell r="G1486">
            <v>2026</v>
          </cell>
          <cell r="H1486" t="str">
            <v>Q2</v>
          </cell>
          <cell r="I1486" t="str">
            <v>Nathaly Allcca</v>
          </cell>
          <cell r="J1486" t="str">
            <v>NO RFI</v>
          </cell>
          <cell r="K1486">
            <v>46066</v>
          </cell>
        </row>
        <row r="1487">
          <cell r="B1487" t="str">
            <v>TX_CRA2026_630</v>
          </cell>
          <cell r="C1487" t="str">
            <v>0100907_AQ_Zamacola to 0100925_AQ_La_Libertad</v>
          </cell>
          <cell r="D1487" t="str">
            <v>M0850</v>
          </cell>
          <cell r="E1487" t="str">
            <v>CRA MOVIL 2026</v>
          </cell>
          <cell r="F1487" t="str">
            <v>Transporte</v>
          </cell>
          <cell r="G1487">
            <v>2026</v>
          </cell>
          <cell r="H1487" t="str">
            <v>Q2</v>
          </cell>
          <cell r="I1487" t="str">
            <v>Nathaly Allcca</v>
          </cell>
          <cell r="J1487" t="str">
            <v>NO RFI</v>
          </cell>
          <cell r="K1487">
            <v>46066</v>
          </cell>
        </row>
        <row r="1488">
          <cell r="B1488" t="str">
            <v>TX_CRA2026_631</v>
          </cell>
          <cell r="C1488" t="str">
            <v>0100918_AQ_Sihuas to 010144664_AQ_Terminal_Pedregal</v>
          </cell>
          <cell r="D1488" t="str">
            <v>M0850</v>
          </cell>
          <cell r="E1488" t="str">
            <v>CRA MOVIL 2026</v>
          </cell>
          <cell r="F1488" t="str">
            <v>Transporte</v>
          </cell>
          <cell r="G1488">
            <v>2026</v>
          </cell>
          <cell r="H1488" t="str">
            <v>Q2</v>
          </cell>
          <cell r="I1488" t="str">
            <v>Nathaly Allcca</v>
          </cell>
          <cell r="J1488" t="str">
            <v>NO RFI</v>
          </cell>
          <cell r="K1488">
            <v>46066</v>
          </cell>
        </row>
        <row r="1489">
          <cell r="B1489" t="str">
            <v>TX_CRA2026_632</v>
          </cell>
          <cell r="C1489" t="str">
            <v>0100902_AQ_Sol_de_Mayo to 010140241_AQ_Ciudad_Blanca</v>
          </cell>
          <cell r="D1489" t="str">
            <v>M0850</v>
          </cell>
          <cell r="E1489" t="str">
            <v>CRA MOVIL 2026</v>
          </cell>
          <cell r="F1489" t="str">
            <v>Transporte</v>
          </cell>
          <cell r="G1489">
            <v>2026</v>
          </cell>
          <cell r="H1489" t="str">
            <v>Q2</v>
          </cell>
          <cell r="I1489" t="str">
            <v>Nathaly Allcca</v>
          </cell>
          <cell r="J1489" t="str">
            <v>NO RFI</v>
          </cell>
          <cell r="K1489">
            <v>46066</v>
          </cell>
        </row>
        <row r="1490">
          <cell r="B1490" t="str">
            <v>TX_CRA2026_633</v>
          </cell>
          <cell r="C1490" t="str">
            <v>0100901_AQ_Arequipa_Centro to 0104011_AQ_La_Merced_Arequipa</v>
          </cell>
          <cell r="D1490" t="str">
            <v>M0850</v>
          </cell>
          <cell r="E1490" t="str">
            <v>CRA MOVIL 2026</v>
          </cell>
          <cell r="F1490" t="str">
            <v>Transporte</v>
          </cell>
          <cell r="G1490">
            <v>2026</v>
          </cell>
          <cell r="H1490" t="str">
            <v>Q2</v>
          </cell>
          <cell r="I1490" t="str">
            <v>Nathaly Allcca</v>
          </cell>
          <cell r="J1490" t="str">
            <v>NO RFI</v>
          </cell>
          <cell r="K1490">
            <v>46066</v>
          </cell>
        </row>
        <row r="1491">
          <cell r="B1491" t="str">
            <v>TX_CRA2026_634</v>
          </cell>
          <cell r="C1491" t="str">
            <v>0100944_AQ_Apacheta to 0103818_AQ_Berlin_Aqp</v>
          </cell>
          <cell r="D1491" t="str">
            <v>M0850</v>
          </cell>
          <cell r="E1491" t="str">
            <v>CRA MOVIL 2026</v>
          </cell>
          <cell r="F1491" t="str">
            <v>Transporte</v>
          </cell>
          <cell r="G1491">
            <v>2026</v>
          </cell>
          <cell r="H1491" t="str">
            <v>Q2</v>
          </cell>
          <cell r="I1491" t="str">
            <v>Nathaly Allcca</v>
          </cell>
          <cell r="J1491" t="str">
            <v>NO RFI</v>
          </cell>
          <cell r="K1491">
            <v>46066</v>
          </cell>
        </row>
        <row r="1492">
          <cell r="B1492" t="str">
            <v>TX_CRA2026_635</v>
          </cell>
          <cell r="C1492" t="str">
            <v>0104046_AQ_Portales_de_Chiguata to 0102625_AQ_Bano_de_Jesus</v>
          </cell>
          <cell r="D1492" t="str">
            <v>M0850</v>
          </cell>
          <cell r="E1492" t="str">
            <v>CRA MOVIL 2026</v>
          </cell>
          <cell r="F1492" t="str">
            <v>Transporte</v>
          </cell>
          <cell r="G1492">
            <v>2026</v>
          </cell>
          <cell r="H1492" t="str">
            <v>Q2</v>
          </cell>
          <cell r="I1492" t="str">
            <v>Nathaly Allcca</v>
          </cell>
          <cell r="J1492" t="str">
            <v>NO RFI</v>
          </cell>
          <cell r="K1492">
            <v>46066</v>
          </cell>
        </row>
        <row r="1493">
          <cell r="B1493" t="str">
            <v>TX_CRA2026_636</v>
          </cell>
          <cell r="C1493" t="str">
            <v>0100034_LM_Chorrillos to 010254899_LM_COW_Agua_Dulce</v>
          </cell>
          <cell r="D1493" t="str">
            <v>M0850</v>
          </cell>
          <cell r="E1493" t="str">
            <v>CRA MOVIL 2026</v>
          </cell>
          <cell r="F1493" t="str">
            <v>Transporte</v>
          </cell>
          <cell r="G1493">
            <v>2026</v>
          </cell>
          <cell r="H1493" t="str">
            <v>Q2</v>
          </cell>
          <cell r="I1493" t="str">
            <v>Nathaly Allcca</v>
          </cell>
          <cell r="J1493" t="str">
            <v>NO RFI</v>
          </cell>
          <cell r="K1493">
            <v>46066</v>
          </cell>
        </row>
        <row r="1494">
          <cell r="B1494" t="str">
            <v>TX_CRA2026_637</v>
          </cell>
          <cell r="C1494" t="str">
            <v>0100463_LM_PanNorte_Km33 to 010254760_LM_Loma_Blanca</v>
          </cell>
          <cell r="D1494" t="str">
            <v>M0850</v>
          </cell>
          <cell r="E1494" t="str">
            <v>CRA MOVIL 2026</v>
          </cell>
          <cell r="F1494" t="str">
            <v>Transporte</v>
          </cell>
          <cell r="G1494">
            <v>2026</v>
          </cell>
          <cell r="H1494" t="str">
            <v>Q2</v>
          </cell>
          <cell r="I1494" t="str">
            <v>Nathaly Allcca</v>
          </cell>
          <cell r="J1494" t="str">
            <v>NO RFI</v>
          </cell>
          <cell r="K1494">
            <v>46066</v>
          </cell>
        </row>
        <row r="1495">
          <cell r="B1495" t="str">
            <v>TX_CRA2026_638</v>
          </cell>
          <cell r="C1495" t="str">
            <v>0100233_LM_Entrada_Collique to 010254604_LM_Revolucion_21</v>
          </cell>
          <cell r="D1495" t="str">
            <v>M0850</v>
          </cell>
          <cell r="E1495" t="str">
            <v>CRA MOVIL 2026</v>
          </cell>
          <cell r="F1495" t="str">
            <v>Transporte</v>
          </cell>
          <cell r="G1495">
            <v>2026</v>
          </cell>
          <cell r="H1495" t="str">
            <v>Q2</v>
          </cell>
          <cell r="I1495" t="str">
            <v>Nathaly Allcca</v>
          </cell>
          <cell r="J1495" t="str">
            <v>NO RFI</v>
          </cell>
          <cell r="K1495">
            <v>46066</v>
          </cell>
        </row>
        <row r="1496">
          <cell r="B1496" t="str">
            <v>TX_CRA2026_639</v>
          </cell>
          <cell r="C1496" t="str">
            <v>0100308_LM_Marina_Park to 0106100_LM_San_Gabriel_La_Mari</v>
          </cell>
          <cell r="D1496" t="str">
            <v>M0850</v>
          </cell>
          <cell r="E1496" t="str">
            <v>CRA MOVIL 2026</v>
          </cell>
          <cell r="F1496" t="str">
            <v>Transporte</v>
          </cell>
          <cell r="G1496">
            <v>2026</v>
          </cell>
          <cell r="H1496" t="str">
            <v>Q2</v>
          </cell>
          <cell r="I1496" t="str">
            <v>Nathaly Allcca</v>
          </cell>
          <cell r="J1496" t="str">
            <v>NO RFI</v>
          </cell>
          <cell r="K1496">
            <v>46066</v>
          </cell>
        </row>
        <row r="1497">
          <cell r="B1497" t="str">
            <v>TX_CRA2026_640</v>
          </cell>
          <cell r="C1497" t="str">
            <v>0100017_LM_Plaza_San_Miguel to 0106098_LM_Gallagher</v>
          </cell>
          <cell r="D1497" t="str">
            <v>M0850</v>
          </cell>
          <cell r="E1497" t="str">
            <v>CRA MOVIL 2026</v>
          </cell>
          <cell r="F1497" t="str">
            <v>Transporte</v>
          </cell>
          <cell r="G1497">
            <v>2026</v>
          </cell>
          <cell r="H1497" t="str">
            <v>Q2</v>
          </cell>
          <cell r="I1497" t="str">
            <v>Nathaly Allcca</v>
          </cell>
          <cell r="J1497" t="str">
            <v>NO RFI</v>
          </cell>
          <cell r="K1497">
            <v>46066</v>
          </cell>
        </row>
        <row r="1498">
          <cell r="B1498" t="str">
            <v>TX_CRA2026_641</v>
          </cell>
          <cell r="C1498" t="str">
            <v>0100018_LM_Pueblo_Libre to 0105999_LM_El_Bolivariano</v>
          </cell>
          <cell r="D1498" t="str">
            <v>M0850</v>
          </cell>
          <cell r="E1498" t="str">
            <v>CRA MOVIL 2026</v>
          </cell>
          <cell r="F1498" t="str">
            <v>Transporte</v>
          </cell>
          <cell r="G1498">
            <v>2026</v>
          </cell>
          <cell r="H1498" t="str">
            <v>Q2</v>
          </cell>
          <cell r="I1498" t="str">
            <v>Nathaly Allcca</v>
          </cell>
          <cell r="J1498" t="str">
            <v>NO RFI</v>
          </cell>
          <cell r="K1498">
            <v>46066</v>
          </cell>
        </row>
        <row r="1499">
          <cell r="B1499" t="str">
            <v>TX_CRA2026_642</v>
          </cell>
          <cell r="C1499" t="str">
            <v>0100482_LM_Delicias to 0105907_LM_La_Viuda</v>
          </cell>
          <cell r="D1499" t="str">
            <v>M0850</v>
          </cell>
          <cell r="E1499" t="str">
            <v>CRA MOVIL 2026</v>
          </cell>
          <cell r="F1499" t="str">
            <v>Transporte</v>
          </cell>
          <cell r="G1499">
            <v>2026</v>
          </cell>
          <cell r="H1499" t="str">
            <v>Q2</v>
          </cell>
          <cell r="I1499" t="str">
            <v>Nathaly Allcca</v>
          </cell>
          <cell r="J1499" t="str">
            <v>NO RFI</v>
          </cell>
          <cell r="K1499">
            <v>46066</v>
          </cell>
        </row>
        <row r="1500">
          <cell r="B1500" t="str">
            <v>TX_CRA2026_643</v>
          </cell>
          <cell r="C1500" t="str">
            <v>0100012_LM_Pando to 0105595_LM_Mateo_Salado</v>
          </cell>
          <cell r="D1500" t="str">
            <v>M0850</v>
          </cell>
          <cell r="E1500" t="str">
            <v>CRA MOVIL 2026</v>
          </cell>
          <cell r="F1500" t="str">
            <v>Transporte</v>
          </cell>
          <cell r="G1500">
            <v>2026</v>
          </cell>
          <cell r="H1500" t="str">
            <v>Q2</v>
          </cell>
          <cell r="I1500" t="str">
            <v>Nathaly Allcca</v>
          </cell>
          <cell r="J1500" t="str">
            <v>NO RFI</v>
          </cell>
          <cell r="K1500">
            <v>46066</v>
          </cell>
        </row>
        <row r="1501">
          <cell r="B1501" t="str">
            <v>TX_CRA2026_644</v>
          </cell>
          <cell r="C1501" t="str">
            <v>0130463_LM_PanNorte_Km33 to 0105350_LM_Gloria_Bamba</v>
          </cell>
          <cell r="D1501" t="str">
            <v>M0850</v>
          </cell>
          <cell r="E1501" t="str">
            <v>CRA MOVIL 2026</v>
          </cell>
          <cell r="F1501" t="str">
            <v>Transporte</v>
          </cell>
          <cell r="G1501">
            <v>2026</v>
          </cell>
          <cell r="H1501" t="str">
            <v>Q2</v>
          </cell>
          <cell r="I1501" t="str">
            <v>Nathaly Allcca</v>
          </cell>
          <cell r="J1501" t="str">
            <v>NO RFI</v>
          </cell>
          <cell r="K1501">
            <v>46066</v>
          </cell>
        </row>
        <row r="1502">
          <cell r="B1502" t="str">
            <v>TX_CRA2026_645</v>
          </cell>
          <cell r="C1502" t="str">
            <v>0100233_LM_Entrada_Collique to 0105260_LM_Sangarara</v>
          </cell>
          <cell r="D1502" t="str">
            <v>M0850</v>
          </cell>
          <cell r="E1502" t="str">
            <v>CRA MOVIL 2026</v>
          </cell>
          <cell r="F1502" t="str">
            <v>Transporte</v>
          </cell>
          <cell r="G1502">
            <v>2026</v>
          </cell>
          <cell r="H1502" t="str">
            <v>Q2</v>
          </cell>
          <cell r="I1502" t="str">
            <v>Nathaly Allcca</v>
          </cell>
          <cell r="J1502" t="str">
            <v>NO RFI</v>
          </cell>
          <cell r="K1502">
            <v>46066</v>
          </cell>
        </row>
        <row r="1503">
          <cell r="B1503" t="str">
            <v>TX_CRA2026_646</v>
          </cell>
          <cell r="C1503" t="str">
            <v>0100482_LM_Delicias to 0104417_LM_24_De_Junio</v>
          </cell>
          <cell r="D1503" t="str">
            <v>M0850</v>
          </cell>
          <cell r="E1503" t="str">
            <v>CRA MOVIL 2026</v>
          </cell>
          <cell r="F1503" t="str">
            <v>Transporte</v>
          </cell>
          <cell r="G1503">
            <v>2026</v>
          </cell>
          <cell r="H1503" t="str">
            <v>Q2</v>
          </cell>
          <cell r="I1503" t="str">
            <v>Nathaly Allcca</v>
          </cell>
          <cell r="J1503" t="str">
            <v>NO RFI</v>
          </cell>
          <cell r="K1503">
            <v>46066</v>
          </cell>
        </row>
        <row r="1504">
          <cell r="B1504" t="str">
            <v>TX_CRA2026_647</v>
          </cell>
          <cell r="C1504" t="str">
            <v>0100034_Lm_Chorrillos to 0103012_LM_Maestro_Palmas</v>
          </cell>
          <cell r="D1504" t="str">
            <v>M0850</v>
          </cell>
          <cell r="E1504" t="str">
            <v>CRA MOVIL 2026</v>
          </cell>
          <cell r="F1504" t="str">
            <v>Transporte</v>
          </cell>
          <cell r="G1504">
            <v>2026</v>
          </cell>
          <cell r="H1504" t="str">
            <v>Q2</v>
          </cell>
          <cell r="I1504" t="str">
            <v>Nathaly Allcca</v>
          </cell>
          <cell r="J1504" t="str">
            <v>NO RFI</v>
          </cell>
          <cell r="K1504">
            <v>46066</v>
          </cell>
        </row>
        <row r="1505">
          <cell r="B1505" t="str">
            <v>TX_CRA2026_648</v>
          </cell>
          <cell r="C1505" t="str">
            <v>0100233_LM_Entrada_Collique to 0101954_LM_Basagoitia</v>
          </cell>
          <cell r="D1505" t="str">
            <v>M0850</v>
          </cell>
          <cell r="E1505" t="str">
            <v>CRA MOVIL 2026</v>
          </cell>
          <cell r="F1505" t="str">
            <v>Transporte</v>
          </cell>
          <cell r="G1505">
            <v>2026</v>
          </cell>
          <cell r="H1505" t="str">
            <v>Q2</v>
          </cell>
          <cell r="I1505" t="str">
            <v>Nathaly Allcca</v>
          </cell>
          <cell r="J1505" t="str">
            <v>NO RFI</v>
          </cell>
          <cell r="K1505">
            <v>46066</v>
          </cell>
        </row>
        <row r="1506">
          <cell r="B1506" t="str">
            <v>TX_CRA2026_649</v>
          </cell>
          <cell r="C1506" t="str">
            <v>0101702_PI_Sechura to 0101870_PI_Ciudad_Pescador</v>
          </cell>
          <cell r="D1506" t="str">
            <v>M0850</v>
          </cell>
          <cell r="E1506" t="str">
            <v>CRA MOVIL 2026</v>
          </cell>
          <cell r="F1506" t="str">
            <v>Transporte</v>
          </cell>
          <cell r="G1506">
            <v>2026</v>
          </cell>
          <cell r="H1506" t="str">
            <v>Q2</v>
          </cell>
          <cell r="I1506" t="str">
            <v>Nathaly Allcca</v>
          </cell>
          <cell r="J1506" t="str">
            <v>NO RFI</v>
          </cell>
          <cell r="K1506">
            <v>46066</v>
          </cell>
        </row>
        <row r="1507">
          <cell r="B1507" t="str">
            <v>TX_CRA2026_650</v>
          </cell>
          <cell r="C1507" t="str">
            <v>0101783_PI_Los_Algarrobos to 0101746_PI_Las_Mercedes</v>
          </cell>
          <cell r="D1507" t="str">
            <v>M0850</v>
          </cell>
          <cell r="E1507" t="str">
            <v>CRA MOVIL 2026</v>
          </cell>
          <cell r="F1507" t="str">
            <v>Transporte</v>
          </cell>
          <cell r="G1507">
            <v>2026</v>
          </cell>
          <cell r="H1507" t="str">
            <v>Q2</v>
          </cell>
          <cell r="I1507" t="str">
            <v>Nathaly Allcca</v>
          </cell>
          <cell r="J1507" t="str">
            <v>NO RFI</v>
          </cell>
          <cell r="K1507">
            <v>46066</v>
          </cell>
        </row>
        <row r="1508">
          <cell r="B1508" t="str">
            <v>TX_CRA2026_651</v>
          </cell>
          <cell r="C1508" t="str">
            <v>0101711_PI_El_Alto to 0101735_PI_Mancora_Playa</v>
          </cell>
          <cell r="D1508" t="str">
            <v>M0850</v>
          </cell>
          <cell r="E1508" t="str">
            <v>CRA MOVIL 2026</v>
          </cell>
          <cell r="F1508" t="str">
            <v>Transporte</v>
          </cell>
          <cell r="G1508">
            <v>2026</v>
          </cell>
          <cell r="H1508" t="str">
            <v>Q2</v>
          </cell>
          <cell r="I1508" t="str">
            <v>Nathaly Allcca</v>
          </cell>
          <cell r="J1508" t="str">
            <v>NO RFI</v>
          </cell>
          <cell r="K1508">
            <v>46066</v>
          </cell>
        </row>
        <row r="1509">
          <cell r="B1509" t="str">
            <v>TX_CRA2026_652</v>
          </cell>
          <cell r="C1509" t="str">
            <v>0100059_LM_Magdalena to 0101295_LM_Sucre_Llosa</v>
          </cell>
          <cell r="D1509" t="str">
            <v>M0850</v>
          </cell>
          <cell r="E1509" t="str">
            <v>CRA MOVIL 2026</v>
          </cell>
          <cell r="F1509" t="str">
            <v>Transporte</v>
          </cell>
          <cell r="G1509">
            <v>2026</v>
          </cell>
          <cell r="H1509" t="str">
            <v>Q2</v>
          </cell>
          <cell r="I1509" t="str">
            <v>Nathaly Allcca</v>
          </cell>
          <cell r="J1509" t="str">
            <v>NO RFI</v>
          </cell>
          <cell r="K1509">
            <v>46066</v>
          </cell>
        </row>
        <row r="1510">
          <cell r="B1510" t="str">
            <v>TX_CRA2026_653</v>
          </cell>
          <cell r="C1510" t="str">
            <v>0100463_LM_PanNorte_Km33 to 0101387_LM_Canepa_Rosales</v>
          </cell>
          <cell r="D1510" t="str">
            <v>M0850</v>
          </cell>
          <cell r="E1510" t="str">
            <v>CRA MOVIL 2026</v>
          </cell>
          <cell r="F1510" t="str">
            <v>Transporte</v>
          </cell>
          <cell r="G1510">
            <v>2026</v>
          </cell>
          <cell r="H1510" t="str">
            <v>Q2</v>
          </cell>
          <cell r="I1510" t="str">
            <v>Nathaly Allcca</v>
          </cell>
          <cell r="J1510" t="str">
            <v>NO RFI</v>
          </cell>
          <cell r="K1510">
            <v>46066</v>
          </cell>
        </row>
        <row r="1511">
          <cell r="B1511" t="str">
            <v>TX_CRA2026_654</v>
          </cell>
          <cell r="C1511" t="str">
            <v>0105118_LM_Peruano_Japones to 0100517_LM_El_Condal</v>
          </cell>
          <cell r="D1511" t="str">
            <v>M0850</v>
          </cell>
          <cell r="E1511" t="str">
            <v>CRA MOVIL 2026</v>
          </cell>
          <cell r="F1511" t="str">
            <v>Transporte</v>
          </cell>
          <cell r="G1511">
            <v>2026</v>
          </cell>
          <cell r="H1511" t="str">
            <v>Q2</v>
          </cell>
          <cell r="I1511" t="str">
            <v>Nathaly Allcca</v>
          </cell>
          <cell r="J1511" t="str">
            <v>NO RFI</v>
          </cell>
          <cell r="K1511">
            <v>46066</v>
          </cell>
        </row>
        <row r="1512">
          <cell r="B1512" t="str">
            <v>TX_CRA2026_655</v>
          </cell>
          <cell r="C1512" t="str">
            <v>0105840_LM_Hacienda_San_Juan to 0100112_LM_Guillermo_Brenner</v>
          </cell>
          <cell r="D1512" t="str">
            <v>M0850</v>
          </cell>
          <cell r="E1512" t="str">
            <v>CRA MOVIL 2026</v>
          </cell>
          <cell r="F1512" t="str">
            <v>Transporte</v>
          </cell>
          <cell r="G1512">
            <v>2026</v>
          </cell>
          <cell r="H1512" t="str">
            <v>Q2</v>
          </cell>
          <cell r="I1512" t="str">
            <v>Nathaly Allcca</v>
          </cell>
          <cell r="J1512" t="str">
            <v>NO RFI</v>
          </cell>
          <cell r="K1512">
            <v>46066</v>
          </cell>
        </row>
        <row r="1513">
          <cell r="B1513" t="str">
            <v>EXP_RancoTDDQ22026_444</v>
          </cell>
          <cell r="C1513" t="str">
            <v>013120026_AN_Delicias_Sur</v>
          </cell>
          <cell r="D1513" t="str">
            <v>M0854</v>
          </cell>
          <cell r="E1513" t="str">
            <v>RANCO TDD 2026</v>
          </cell>
          <cell r="F1513" t="str">
            <v>Expansiones</v>
          </cell>
          <cell r="G1513">
            <v>2026</v>
          </cell>
          <cell r="H1513" t="str">
            <v>Q2</v>
          </cell>
          <cell r="I1513" t="str">
            <v>Jason olivos</v>
          </cell>
          <cell r="J1513" t="str">
            <v>NO RFI</v>
          </cell>
          <cell r="K1513">
            <v>46069</v>
          </cell>
        </row>
        <row r="1514">
          <cell r="B1514" t="str">
            <v>EXP_RancoTDDQ22026_1</v>
          </cell>
          <cell r="C1514" t="str">
            <v>013145016_AQ_Magna_Bolivar</v>
          </cell>
          <cell r="D1514" t="str">
            <v>M0854</v>
          </cell>
          <cell r="E1514" t="str">
            <v>RANCO TDD 2026</v>
          </cell>
          <cell r="F1514" t="str">
            <v>Expansiones</v>
          </cell>
          <cell r="G1514">
            <v>2026</v>
          </cell>
          <cell r="H1514" t="str">
            <v>Q2</v>
          </cell>
          <cell r="I1514" t="str">
            <v>Jason olivos</v>
          </cell>
          <cell r="J1514" t="str">
            <v>NO RFI</v>
          </cell>
          <cell r="K1514">
            <v>46069</v>
          </cell>
        </row>
        <row r="1515">
          <cell r="B1515" t="str">
            <v>EXP_RancoTDDQ22026_2</v>
          </cell>
          <cell r="C1515" t="str">
            <v>013140241_AQ_Ciudad_Blanca</v>
          </cell>
          <cell r="D1515" t="str">
            <v>M0854</v>
          </cell>
          <cell r="E1515" t="str">
            <v>RANCO TDD 2026</v>
          </cell>
          <cell r="F1515" t="str">
            <v>Expansiones</v>
          </cell>
          <cell r="G1515">
            <v>2026</v>
          </cell>
          <cell r="H1515" t="str">
            <v>Q2</v>
          </cell>
          <cell r="I1515" t="str">
            <v>Jason olivos</v>
          </cell>
          <cell r="J1515" t="str">
            <v>NO RFI</v>
          </cell>
          <cell r="K1515">
            <v>46069</v>
          </cell>
        </row>
        <row r="1516">
          <cell r="B1516" t="str">
            <v>EXP_RancoTDDQ22026_3</v>
          </cell>
          <cell r="C1516" t="str">
            <v>0131471_PN_Chifron</v>
          </cell>
          <cell r="D1516" t="str">
            <v>M0854</v>
          </cell>
          <cell r="E1516" t="str">
            <v>RANCO TDD 2026</v>
          </cell>
          <cell r="F1516" t="str">
            <v>Expansiones</v>
          </cell>
          <cell r="G1516">
            <v>2026</v>
          </cell>
          <cell r="H1516" t="str">
            <v>Q2</v>
          </cell>
          <cell r="I1516" t="str">
            <v>Jason olivos</v>
          </cell>
          <cell r="J1516" t="str">
            <v>NO RFI</v>
          </cell>
          <cell r="K1516">
            <v>46069</v>
          </cell>
        </row>
        <row r="1517">
          <cell r="B1517" t="str">
            <v>EXP_RancoTDDQ22026_4</v>
          </cell>
          <cell r="C1517" t="str">
            <v>0131409_PN_Santiago_Giraldo</v>
          </cell>
          <cell r="D1517" t="str">
            <v>M0854</v>
          </cell>
          <cell r="E1517" t="str">
            <v>RANCO TDD 2026</v>
          </cell>
          <cell r="F1517" t="str">
            <v>Expansiones</v>
          </cell>
          <cell r="G1517">
            <v>2026</v>
          </cell>
          <cell r="H1517" t="str">
            <v>Q2</v>
          </cell>
          <cell r="I1517" t="str">
            <v>Jason olivos</v>
          </cell>
          <cell r="J1517" t="str">
            <v>NO RFI</v>
          </cell>
          <cell r="K1517">
            <v>46069</v>
          </cell>
        </row>
        <row r="1518">
          <cell r="B1518" t="str">
            <v>EXP_RancoTDDQ22026_5</v>
          </cell>
          <cell r="C1518" t="str">
            <v>013312421_PN_UrbElCarmenDeJuliaca</v>
          </cell>
          <cell r="D1518" t="str">
            <v>M0854</v>
          </cell>
          <cell r="E1518" t="str">
            <v>RANCO TDD 2026</v>
          </cell>
          <cell r="F1518" t="str">
            <v>Expansiones</v>
          </cell>
          <cell r="G1518">
            <v>2026</v>
          </cell>
          <cell r="H1518" t="str">
            <v>Q2</v>
          </cell>
          <cell r="I1518" t="str">
            <v>Jason olivos</v>
          </cell>
          <cell r="J1518" t="str">
            <v>NO RFI</v>
          </cell>
          <cell r="K1518">
            <v>46069</v>
          </cell>
        </row>
        <row r="1519">
          <cell r="B1519" t="str">
            <v>EXP_RancoTDDQ22026_6</v>
          </cell>
          <cell r="C1519" t="str">
            <v>0130823_IC_Las_Dunas</v>
          </cell>
          <cell r="D1519" t="str">
            <v>M0854</v>
          </cell>
          <cell r="E1519" t="str">
            <v>RANCO TDD 2026</v>
          </cell>
          <cell r="F1519" t="str">
            <v>Expansiones</v>
          </cell>
          <cell r="G1519">
            <v>2026</v>
          </cell>
          <cell r="H1519" t="str">
            <v>Q2</v>
          </cell>
          <cell r="I1519" t="str">
            <v>Jason olivos</v>
          </cell>
          <cell r="J1519" t="str">
            <v>NO RFI</v>
          </cell>
          <cell r="K1519">
            <v>46069</v>
          </cell>
        </row>
        <row r="1520">
          <cell r="B1520" t="str">
            <v>EXP_RancoTDDQ22026_7</v>
          </cell>
          <cell r="C1520" t="str">
            <v>013211411_IC_ProAgroColca</v>
          </cell>
          <cell r="D1520" t="str">
            <v>M0854</v>
          </cell>
          <cell r="E1520" t="str">
            <v>RANCO TDD 2026</v>
          </cell>
          <cell r="F1520" t="str">
            <v>Expansiones</v>
          </cell>
          <cell r="G1520">
            <v>2026</v>
          </cell>
          <cell r="H1520" t="str">
            <v>Q2</v>
          </cell>
          <cell r="I1520" t="str">
            <v>Jason olivos</v>
          </cell>
          <cell r="J1520" t="str">
            <v>NO RFI</v>
          </cell>
          <cell r="K1520">
            <v>46069</v>
          </cell>
        </row>
        <row r="1521">
          <cell r="B1521" t="str">
            <v>EXP_RancoTDDQ22026_8</v>
          </cell>
          <cell r="C1521" t="str">
            <v>013110004_AZ_Lonya_Cumba</v>
          </cell>
          <cell r="D1521" t="str">
            <v>M0854</v>
          </cell>
          <cell r="E1521" t="str">
            <v>RANCO TDD 2026</v>
          </cell>
          <cell r="F1521" t="str">
            <v>Expansiones</v>
          </cell>
          <cell r="G1521">
            <v>2026</v>
          </cell>
          <cell r="H1521" t="str">
            <v>Q2</v>
          </cell>
          <cell r="I1521" t="str">
            <v>Jason olivos</v>
          </cell>
          <cell r="J1521" t="str">
            <v>NO RFI</v>
          </cell>
          <cell r="K1521">
            <v>46069</v>
          </cell>
        </row>
        <row r="1522">
          <cell r="B1522" t="str">
            <v>EXP_RancoTDDQ22026_9</v>
          </cell>
          <cell r="C1522" t="str">
            <v>0132976_AP_Abancay_Alto</v>
          </cell>
          <cell r="D1522" t="str">
            <v>M0854</v>
          </cell>
          <cell r="E1522" t="str">
            <v>RANCO TDD 2026</v>
          </cell>
          <cell r="F1522" t="str">
            <v>Expansiones</v>
          </cell>
          <cell r="G1522">
            <v>2026</v>
          </cell>
          <cell r="H1522" t="str">
            <v>Q2</v>
          </cell>
          <cell r="I1522" t="str">
            <v>Jason olivos</v>
          </cell>
          <cell r="J1522" t="str">
            <v>NO RFI</v>
          </cell>
          <cell r="K1522">
            <v>46069</v>
          </cell>
        </row>
        <row r="1523">
          <cell r="B1523" t="str">
            <v>EXP_RancoTDDQ22026_10</v>
          </cell>
          <cell r="C1523" t="str">
            <v>0132918_AP_Wanka</v>
          </cell>
          <cell r="D1523" t="str">
            <v>M0854</v>
          </cell>
          <cell r="E1523" t="str">
            <v>RANCO TDD 2026</v>
          </cell>
          <cell r="F1523" t="str">
            <v>Expansiones</v>
          </cell>
          <cell r="G1523">
            <v>2026</v>
          </cell>
          <cell r="H1523" t="str">
            <v>Q2</v>
          </cell>
          <cell r="I1523" t="str">
            <v>Jason olivos</v>
          </cell>
          <cell r="J1523" t="str">
            <v>NO RFI</v>
          </cell>
          <cell r="K1523">
            <v>46069</v>
          </cell>
        </row>
        <row r="1524">
          <cell r="B1524" t="str">
            <v>EXP_RancoTDDQ22026_11</v>
          </cell>
          <cell r="C1524" t="str">
            <v>0131368_CS_Los_Retamales</v>
          </cell>
          <cell r="D1524" t="str">
            <v>M0854</v>
          </cell>
          <cell r="E1524" t="str">
            <v>RANCO TDD 2026</v>
          </cell>
          <cell r="F1524" t="str">
            <v>Expansiones</v>
          </cell>
          <cell r="G1524">
            <v>2026</v>
          </cell>
          <cell r="H1524" t="str">
            <v>Q2</v>
          </cell>
          <cell r="I1524" t="str">
            <v>Jason olivos</v>
          </cell>
          <cell r="J1524" t="str">
            <v>NO RFI</v>
          </cell>
          <cell r="K1524">
            <v>46069</v>
          </cell>
        </row>
        <row r="1525">
          <cell r="B1525" t="str">
            <v>EXP_RancoTDDQ22026_12</v>
          </cell>
          <cell r="C1525" t="str">
            <v>0131314_CS_Sol_de_Oro</v>
          </cell>
          <cell r="D1525" t="str">
            <v>M0854</v>
          </cell>
          <cell r="E1525" t="str">
            <v>RANCO TDD 2026</v>
          </cell>
          <cell r="F1525" t="str">
            <v>Expansiones</v>
          </cell>
          <cell r="G1525">
            <v>2026</v>
          </cell>
          <cell r="H1525" t="str">
            <v>Q2</v>
          </cell>
          <cell r="I1525" t="str">
            <v>Jason olivos</v>
          </cell>
          <cell r="J1525" t="str">
            <v>NO RFI</v>
          </cell>
          <cell r="K1525">
            <v>46069</v>
          </cell>
        </row>
        <row r="1526">
          <cell r="B1526" t="str">
            <v>EXP_RancoTDDQ22026_13</v>
          </cell>
          <cell r="C1526" t="str">
            <v>0131327_CS_Plazuela_Garcilazo</v>
          </cell>
          <cell r="D1526" t="str">
            <v>M0854</v>
          </cell>
          <cell r="E1526" t="str">
            <v>RANCO TDD 2026</v>
          </cell>
          <cell r="F1526" t="str">
            <v>Expansiones</v>
          </cell>
          <cell r="G1526">
            <v>2026</v>
          </cell>
          <cell r="H1526" t="str">
            <v>Q2</v>
          </cell>
          <cell r="I1526" t="str">
            <v>Jason olivos</v>
          </cell>
          <cell r="J1526" t="str">
            <v>NO RFI</v>
          </cell>
          <cell r="K1526">
            <v>46069</v>
          </cell>
        </row>
        <row r="1527">
          <cell r="B1527" t="str">
            <v>EXP_RancoTDDQ22026_14</v>
          </cell>
          <cell r="C1527" t="str">
            <v>0132722_CS_Hatumpampa</v>
          </cell>
          <cell r="D1527" t="str">
            <v>M0854</v>
          </cell>
          <cell r="E1527" t="str">
            <v>RANCO TDD 2026</v>
          </cell>
          <cell r="F1527" t="str">
            <v>Expansiones</v>
          </cell>
          <cell r="G1527">
            <v>2026</v>
          </cell>
          <cell r="H1527" t="str">
            <v>Q2</v>
          </cell>
          <cell r="I1527" t="str">
            <v>Jason olivos</v>
          </cell>
          <cell r="J1527" t="str">
            <v>NO RFI</v>
          </cell>
          <cell r="K1527">
            <v>46069</v>
          </cell>
        </row>
        <row r="1528">
          <cell r="B1528" t="str">
            <v>EXP_RancoTDDQ22026_15</v>
          </cell>
          <cell r="C1528" t="str">
            <v>0133741_AY_Nueve_Diciembre</v>
          </cell>
          <cell r="D1528" t="str">
            <v>M0854</v>
          </cell>
          <cell r="E1528" t="str">
            <v>RANCO TDD 2026</v>
          </cell>
          <cell r="F1528" t="str">
            <v>Expansiones</v>
          </cell>
          <cell r="G1528">
            <v>2026</v>
          </cell>
          <cell r="H1528" t="str">
            <v>Q2</v>
          </cell>
          <cell r="I1528" t="str">
            <v>Jason olivos</v>
          </cell>
          <cell r="J1528" t="str">
            <v>NO RFI</v>
          </cell>
          <cell r="K1528">
            <v>46069</v>
          </cell>
        </row>
        <row r="1529">
          <cell r="B1529" t="str">
            <v>EXP_RancoTDDQ22026_16</v>
          </cell>
          <cell r="C1529" t="str">
            <v>0136261_LM_Canete_Plaza</v>
          </cell>
          <cell r="D1529" t="str">
            <v>M0854</v>
          </cell>
          <cell r="E1529" t="str">
            <v>RANCO TDD 2026</v>
          </cell>
          <cell r="F1529" t="str">
            <v>Expansiones</v>
          </cell>
          <cell r="G1529">
            <v>2026</v>
          </cell>
          <cell r="H1529" t="str">
            <v>Q2</v>
          </cell>
          <cell r="I1529" t="str">
            <v>Jason olivos</v>
          </cell>
          <cell r="J1529" t="str">
            <v>NO RFI</v>
          </cell>
          <cell r="K1529">
            <v>46069</v>
          </cell>
        </row>
        <row r="1530">
          <cell r="B1530" t="str">
            <v>EXP_RancoTDDQ22026_17</v>
          </cell>
          <cell r="C1530" t="str">
            <v>0136353_LM_Progreso_Sucre</v>
          </cell>
          <cell r="D1530" t="str">
            <v>M0854</v>
          </cell>
          <cell r="E1530" t="str">
            <v>RANCO TDD 2026</v>
          </cell>
          <cell r="F1530" t="str">
            <v>Expansiones</v>
          </cell>
          <cell r="G1530">
            <v>2026</v>
          </cell>
          <cell r="H1530" t="str">
            <v>Q2</v>
          </cell>
          <cell r="I1530" t="str">
            <v>Jason olivos</v>
          </cell>
          <cell r="J1530" t="str">
            <v>NO RFI</v>
          </cell>
          <cell r="K1530">
            <v>46069</v>
          </cell>
        </row>
        <row r="1531">
          <cell r="B1531" t="str">
            <v>EXP_RancoTDDQ22026_18</v>
          </cell>
          <cell r="C1531" t="str">
            <v>0132778_CS_Quillabamba</v>
          </cell>
          <cell r="D1531" t="str">
            <v>M0854</v>
          </cell>
          <cell r="E1531" t="str">
            <v>RANCO TDD 2026</v>
          </cell>
          <cell r="F1531" t="str">
            <v>Expansiones</v>
          </cell>
          <cell r="G1531">
            <v>2026</v>
          </cell>
          <cell r="H1531" t="str">
            <v>Q2</v>
          </cell>
          <cell r="I1531" t="str">
            <v>Jason olivos</v>
          </cell>
          <cell r="J1531" t="str">
            <v>NO RFI</v>
          </cell>
          <cell r="K1531">
            <v>46069</v>
          </cell>
        </row>
        <row r="1532">
          <cell r="B1532" t="str">
            <v>EXP_RancoTDDQ22026_19</v>
          </cell>
          <cell r="C1532" t="str">
            <v>0134518_LM_Mala_Rinconada</v>
          </cell>
          <cell r="D1532" t="str">
            <v>M0854</v>
          </cell>
          <cell r="E1532" t="str">
            <v>RANCO TDD 2026</v>
          </cell>
          <cell r="F1532" t="str">
            <v>Expansiones</v>
          </cell>
          <cell r="G1532">
            <v>2026</v>
          </cell>
          <cell r="H1532" t="str">
            <v>Q2</v>
          </cell>
          <cell r="I1532" t="str">
            <v>Jason olivos</v>
          </cell>
          <cell r="J1532" t="str">
            <v>NO RFI</v>
          </cell>
          <cell r="K1532">
            <v>46069</v>
          </cell>
        </row>
        <row r="1533">
          <cell r="B1533" t="str">
            <v>EXP_RancoTDDQ22026_20</v>
          </cell>
          <cell r="C1533" t="str">
            <v>0136255_LM_Owens_Lurin</v>
          </cell>
          <cell r="D1533" t="str">
            <v>M0854</v>
          </cell>
          <cell r="E1533" t="str">
            <v>RANCO TDD 2026</v>
          </cell>
          <cell r="F1533" t="str">
            <v>Expansiones</v>
          </cell>
          <cell r="G1533">
            <v>2026</v>
          </cell>
          <cell r="H1533" t="str">
            <v>Q2</v>
          </cell>
          <cell r="I1533" t="str">
            <v>Jason olivos</v>
          </cell>
          <cell r="J1533" t="str">
            <v>NO RFI</v>
          </cell>
          <cell r="K1533">
            <v>46069</v>
          </cell>
        </row>
        <row r="1534">
          <cell r="B1534" t="str">
            <v>EXP_RancoTDDQ22026_21</v>
          </cell>
          <cell r="C1534" t="str">
            <v>0136251_LM_Independencia_Franc</v>
          </cell>
          <cell r="D1534" t="str">
            <v>M0854</v>
          </cell>
          <cell r="E1534" t="str">
            <v>RANCO TDD 2026</v>
          </cell>
          <cell r="F1534" t="str">
            <v>Expansiones</v>
          </cell>
          <cell r="G1534">
            <v>2026</v>
          </cell>
          <cell r="H1534" t="str">
            <v>Q2</v>
          </cell>
          <cell r="I1534" t="str">
            <v>Jason olivos</v>
          </cell>
          <cell r="J1534" t="str">
            <v>NO RFI</v>
          </cell>
          <cell r="K1534">
            <v>46069</v>
          </cell>
        </row>
        <row r="1535">
          <cell r="B1535" t="str">
            <v>EXP_RancoTDDQ22026_22</v>
          </cell>
          <cell r="C1535" t="str">
            <v>0135161_LM_Valle_Lurin_2</v>
          </cell>
          <cell r="D1535" t="str">
            <v>M0854</v>
          </cell>
          <cell r="E1535" t="str">
            <v>RANCO TDD 2026</v>
          </cell>
          <cell r="F1535" t="str">
            <v>Expansiones</v>
          </cell>
          <cell r="G1535">
            <v>2026</v>
          </cell>
          <cell r="H1535" t="str">
            <v>Q2</v>
          </cell>
          <cell r="I1535" t="str">
            <v>Jason olivos</v>
          </cell>
          <cell r="J1535" t="str">
            <v>NO RFI</v>
          </cell>
          <cell r="K1535">
            <v>46069</v>
          </cell>
        </row>
        <row r="1536">
          <cell r="B1536" t="str">
            <v>EXP_RancoTDDQ22026_23</v>
          </cell>
          <cell r="C1536" t="str">
            <v>0135157_LM_Villena_Lurin</v>
          </cell>
          <cell r="D1536" t="str">
            <v>M0854</v>
          </cell>
          <cell r="E1536" t="str">
            <v>RANCO TDD 2026</v>
          </cell>
          <cell r="F1536" t="str">
            <v>Expansiones</v>
          </cell>
          <cell r="G1536">
            <v>2026</v>
          </cell>
          <cell r="H1536" t="str">
            <v>Q2</v>
          </cell>
          <cell r="I1536" t="str">
            <v>Jason olivos</v>
          </cell>
          <cell r="J1536" t="str">
            <v>NO RFI</v>
          </cell>
          <cell r="K1536">
            <v>46069</v>
          </cell>
        </row>
        <row r="1537">
          <cell r="B1537" t="str">
            <v>EXP_RancoTDDQ22026_24</v>
          </cell>
          <cell r="C1537" t="str">
            <v>0130387_LM_Lurin</v>
          </cell>
          <cell r="D1537" t="str">
            <v>M0854</v>
          </cell>
          <cell r="E1537" t="str">
            <v>RANCO TDD 2026</v>
          </cell>
          <cell r="F1537" t="str">
            <v>Expansiones</v>
          </cell>
          <cell r="G1537">
            <v>2026</v>
          </cell>
          <cell r="H1537" t="str">
            <v>Q2</v>
          </cell>
          <cell r="I1537" t="str">
            <v>Jason olivos</v>
          </cell>
          <cell r="J1537" t="str">
            <v>NO RFI</v>
          </cell>
          <cell r="K1537">
            <v>46069</v>
          </cell>
        </row>
        <row r="1538">
          <cell r="B1538" t="str">
            <v>EXP_RancoTDDQ22026_25</v>
          </cell>
          <cell r="C1538" t="str">
            <v>0135048_LM_Refineria_Conchan</v>
          </cell>
          <cell r="D1538" t="str">
            <v>M0854</v>
          </cell>
          <cell r="E1538" t="str">
            <v>RANCO TDD 2026</v>
          </cell>
          <cell r="F1538" t="str">
            <v>Expansiones</v>
          </cell>
          <cell r="G1538">
            <v>2026</v>
          </cell>
          <cell r="H1538" t="str">
            <v>Q2</v>
          </cell>
          <cell r="I1538" t="str">
            <v>Jason olivos</v>
          </cell>
          <cell r="J1538" t="str">
            <v>NO RFI</v>
          </cell>
          <cell r="K1538">
            <v>46069</v>
          </cell>
        </row>
        <row r="1539">
          <cell r="B1539" t="str">
            <v>EXP_RancoTDDQ22026_26</v>
          </cell>
          <cell r="C1539" t="str">
            <v>0135051_LM_Parque_Huascar</v>
          </cell>
          <cell r="D1539" t="str">
            <v>M0854</v>
          </cell>
          <cell r="E1539" t="str">
            <v>RANCO TDD 2026</v>
          </cell>
          <cell r="F1539" t="str">
            <v>Expansiones</v>
          </cell>
          <cell r="G1539">
            <v>2026</v>
          </cell>
          <cell r="H1539" t="str">
            <v>Q2</v>
          </cell>
          <cell r="I1539" t="str">
            <v>Jason olivos</v>
          </cell>
          <cell r="J1539" t="str">
            <v>NO RFI</v>
          </cell>
          <cell r="K1539">
            <v>46069</v>
          </cell>
        </row>
        <row r="1540">
          <cell r="B1540" t="str">
            <v>EXP_RancoTDDQ22026_27</v>
          </cell>
          <cell r="C1540" t="str">
            <v>0136187_LM_Mega_Plaza_Express</v>
          </cell>
          <cell r="D1540" t="str">
            <v>M0854</v>
          </cell>
          <cell r="E1540" t="str">
            <v>RANCO TDD 2026</v>
          </cell>
          <cell r="F1540" t="str">
            <v>Expansiones</v>
          </cell>
          <cell r="G1540">
            <v>2026</v>
          </cell>
          <cell r="H1540" t="str">
            <v>Q2</v>
          </cell>
          <cell r="I1540" t="str">
            <v>Jason olivos</v>
          </cell>
          <cell r="J1540" t="str">
            <v>NO RFI</v>
          </cell>
          <cell r="K1540">
            <v>46069</v>
          </cell>
        </row>
        <row r="1541">
          <cell r="B1541" t="str">
            <v>EXP_RancoTDDQ22026_28</v>
          </cell>
          <cell r="C1541" t="str">
            <v>013254484_LM_IEP_Elim</v>
          </cell>
          <cell r="D1541" t="str">
            <v>M0854</v>
          </cell>
          <cell r="E1541" t="str">
            <v>RANCO TDD 2026</v>
          </cell>
          <cell r="F1541" t="str">
            <v>Expansiones</v>
          </cell>
          <cell r="G1541">
            <v>2026</v>
          </cell>
          <cell r="H1541" t="str">
            <v>Q2</v>
          </cell>
          <cell r="I1541" t="str">
            <v>Jason olivos</v>
          </cell>
          <cell r="J1541" t="str">
            <v>NO RFI</v>
          </cell>
          <cell r="K1541">
            <v>46069</v>
          </cell>
        </row>
        <row r="1542">
          <cell r="B1542" t="str">
            <v>EXP_RancoTDDQ22026_29</v>
          </cell>
          <cell r="C1542" t="str">
            <v>0130154_LM_200_Millas</v>
          </cell>
          <cell r="D1542" t="str">
            <v>M0854</v>
          </cell>
          <cell r="E1542" t="str">
            <v>RANCO TDD 2026</v>
          </cell>
          <cell r="F1542" t="str">
            <v>Expansiones</v>
          </cell>
          <cell r="G1542">
            <v>2026</v>
          </cell>
          <cell r="H1542" t="str">
            <v>Q2</v>
          </cell>
          <cell r="I1542" t="str">
            <v>Jason olivos</v>
          </cell>
          <cell r="J1542" t="str">
            <v>NO RFI</v>
          </cell>
          <cell r="K1542">
            <v>46069</v>
          </cell>
        </row>
        <row r="1543">
          <cell r="B1543" t="str">
            <v>EXP_RancoTDDQ22026_30</v>
          </cell>
          <cell r="C1543" t="str">
            <v>013252201_LM_Salvador_Bolivar</v>
          </cell>
          <cell r="D1543" t="str">
            <v>M0854</v>
          </cell>
          <cell r="E1543" t="str">
            <v>RANCO TDD 2026</v>
          </cell>
          <cell r="F1543" t="str">
            <v>Expansiones</v>
          </cell>
          <cell r="G1543">
            <v>2026</v>
          </cell>
          <cell r="H1543" t="str">
            <v>Q2</v>
          </cell>
          <cell r="I1543" t="str">
            <v>Jason olivos</v>
          </cell>
          <cell r="J1543" t="str">
            <v>NO RFI</v>
          </cell>
          <cell r="K1543">
            <v>46069</v>
          </cell>
        </row>
        <row r="1544">
          <cell r="B1544" t="str">
            <v>EXP_RancoTDDQ22026_31</v>
          </cell>
          <cell r="C1544" t="str">
            <v>0134452_LM_Avenida_Central</v>
          </cell>
          <cell r="D1544" t="str">
            <v>M0854</v>
          </cell>
          <cell r="E1544" t="str">
            <v>RANCO TDD 2026</v>
          </cell>
          <cell r="F1544" t="str">
            <v>Expansiones</v>
          </cell>
          <cell r="G1544">
            <v>2026</v>
          </cell>
          <cell r="H1544" t="str">
            <v>Q2</v>
          </cell>
          <cell r="I1544" t="str">
            <v>Jason olivos</v>
          </cell>
          <cell r="J1544" t="str">
            <v>NO RFI</v>
          </cell>
          <cell r="K1544">
            <v>46069</v>
          </cell>
        </row>
        <row r="1545">
          <cell r="B1545" t="str">
            <v>EXP_RancoTDDQ22026_32</v>
          </cell>
          <cell r="C1545" t="str">
            <v>0130367_LM_Villa_El_Salvador_Sector_VI</v>
          </cell>
          <cell r="D1545" t="str">
            <v>M0854</v>
          </cell>
          <cell r="E1545" t="str">
            <v>RANCO TDD 2026</v>
          </cell>
          <cell r="F1545" t="str">
            <v>Expansiones</v>
          </cell>
          <cell r="G1545">
            <v>2026</v>
          </cell>
          <cell r="H1545" t="str">
            <v>Q2</v>
          </cell>
          <cell r="I1545" t="str">
            <v>Jason olivos</v>
          </cell>
          <cell r="J1545" t="str">
            <v>NO RFI</v>
          </cell>
          <cell r="K1545">
            <v>46069</v>
          </cell>
        </row>
        <row r="1546">
          <cell r="B1546" t="str">
            <v>EXP_RancoTDDQ22026_33</v>
          </cell>
          <cell r="C1546" t="str">
            <v>0136165_LM_Calle_Mariategui</v>
          </cell>
          <cell r="D1546" t="str">
            <v>M0854</v>
          </cell>
          <cell r="E1546" t="str">
            <v>RANCO TDD 2026</v>
          </cell>
          <cell r="F1546" t="str">
            <v>Expansiones</v>
          </cell>
          <cell r="G1546">
            <v>2026</v>
          </cell>
          <cell r="H1546" t="str">
            <v>Q2</v>
          </cell>
          <cell r="I1546" t="str">
            <v>Jason olivos</v>
          </cell>
          <cell r="J1546" t="str">
            <v>NO RFI</v>
          </cell>
          <cell r="K1546">
            <v>46069</v>
          </cell>
        </row>
        <row r="1547">
          <cell r="B1547" t="str">
            <v>EXP_RancoTDDQ22026_34</v>
          </cell>
          <cell r="C1547" t="str">
            <v>0136189_LM_Nuevo_Progreso</v>
          </cell>
          <cell r="D1547" t="str">
            <v>M0854</v>
          </cell>
          <cell r="E1547" t="str">
            <v>RANCO TDD 2026</v>
          </cell>
          <cell r="F1547" t="str">
            <v>Expansiones</v>
          </cell>
          <cell r="G1547">
            <v>2026</v>
          </cell>
          <cell r="H1547" t="str">
            <v>Q2</v>
          </cell>
          <cell r="I1547" t="str">
            <v>Jason olivos</v>
          </cell>
          <cell r="J1547" t="str">
            <v>NO RFI</v>
          </cell>
          <cell r="K1547">
            <v>46069</v>
          </cell>
        </row>
        <row r="1548">
          <cell r="B1548" t="str">
            <v>EXP_RancoTDDQ22026_35</v>
          </cell>
          <cell r="C1548" t="str">
            <v>0132410_LM_Local_Solydes</v>
          </cell>
          <cell r="D1548" t="str">
            <v>M0854</v>
          </cell>
          <cell r="E1548" t="str">
            <v>RANCO TDD 2026</v>
          </cell>
          <cell r="F1548" t="str">
            <v>Expansiones</v>
          </cell>
          <cell r="G1548">
            <v>2026</v>
          </cell>
          <cell r="H1548" t="str">
            <v>Q2</v>
          </cell>
          <cell r="I1548" t="str">
            <v>Jason olivos</v>
          </cell>
          <cell r="J1548" t="str">
            <v>NO RFI</v>
          </cell>
          <cell r="K1548">
            <v>46069</v>
          </cell>
        </row>
        <row r="1549">
          <cell r="B1549" t="str">
            <v>EXP_RancoTDDQ22026_36</v>
          </cell>
          <cell r="C1549" t="str">
            <v>013250621_LM_Villa_Crema</v>
          </cell>
          <cell r="D1549" t="str">
            <v>M0854</v>
          </cell>
          <cell r="E1549" t="str">
            <v>RANCO TDD 2026</v>
          </cell>
          <cell r="F1549" t="str">
            <v>Expansiones</v>
          </cell>
          <cell r="G1549">
            <v>2026</v>
          </cell>
          <cell r="H1549" t="str">
            <v>Q2</v>
          </cell>
          <cell r="I1549" t="str">
            <v>Jason olivos</v>
          </cell>
          <cell r="J1549" t="str">
            <v>NO RFI</v>
          </cell>
          <cell r="K1549">
            <v>46069</v>
          </cell>
        </row>
        <row r="1550">
          <cell r="B1550" t="str">
            <v>EXP_RancoTDDQ22026_37</v>
          </cell>
          <cell r="C1550" t="str">
            <v>0135133_LM_Calle_13</v>
          </cell>
          <cell r="D1550" t="str">
            <v>M0854</v>
          </cell>
          <cell r="E1550" t="str">
            <v>RANCO TDD 2026</v>
          </cell>
          <cell r="F1550" t="str">
            <v>Expansiones</v>
          </cell>
          <cell r="G1550">
            <v>2026</v>
          </cell>
          <cell r="H1550" t="str">
            <v>Q2</v>
          </cell>
          <cell r="I1550" t="str">
            <v>Jason olivos</v>
          </cell>
          <cell r="J1550" t="str">
            <v>NO RFI</v>
          </cell>
          <cell r="K1550">
            <v>46069</v>
          </cell>
        </row>
        <row r="1551">
          <cell r="B1551" t="str">
            <v>EXP_RancoTDDQ22026_38</v>
          </cell>
          <cell r="C1551" t="str">
            <v>0136158_LM_Villa_ATC</v>
          </cell>
          <cell r="D1551" t="str">
            <v>M0854</v>
          </cell>
          <cell r="E1551" t="str">
            <v>RANCO TDD 2026</v>
          </cell>
          <cell r="F1551" t="str">
            <v>Expansiones</v>
          </cell>
          <cell r="G1551">
            <v>2026</v>
          </cell>
          <cell r="H1551" t="str">
            <v>Q2</v>
          </cell>
          <cell r="I1551" t="str">
            <v>Jason olivos</v>
          </cell>
          <cell r="J1551" t="str">
            <v>NO RFI</v>
          </cell>
          <cell r="K1551">
            <v>46069</v>
          </cell>
        </row>
        <row r="1552">
          <cell r="B1552" t="str">
            <v>EXP_RancoTDDQ22026_39</v>
          </cell>
          <cell r="C1552" t="str">
            <v>0130038_LM_Villa_Salvador</v>
          </cell>
          <cell r="D1552" t="str">
            <v>M0854</v>
          </cell>
          <cell r="E1552" t="str">
            <v>RANCO TDD 2026</v>
          </cell>
          <cell r="F1552" t="str">
            <v>Expansiones</v>
          </cell>
          <cell r="G1552">
            <v>2026</v>
          </cell>
          <cell r="H1552" t="str">
            <v>Q2</v>
          </cell>
          <cell r="I1552" t="str">
            <v>Jason olivos</v>
          </cell>
          <cell r="J1552" t="str">
            <v>NO RFI</v>
          </cell>
          <cell r="K1552">
            <v>46069</v>
          </cell>
        </row>
        <row r="1553">
          <cell r="B1553" t="str">
            <v>EXP_RancoTDDQ22026_40</v>
          </cell>
          <cell r="C1553" t="str">
            <v>0130481_LM_Don_Augusto</v>
          </cell>
          <cell r="D1553" t="str">
            <v>M0854</v>
          </cell>
          <cell r="E1553" t="str">
            <v>RANCO TDD 2026</v>
          </cell>
          <cell r="F1553" t="str">
            <v>Expansiones</v>
          </cell>
          <cell r="G1553">
            <v>2026</v>
          </cell>
          <cell r="H1553" t="str">
            <v>Q2</v>
          </cell>
          <cell r="I1553" t="str">
            <v>Jason olivos</v>
          </cell>
          <cell r="J1553" t="str">
            <v>NO RFI</v>
          </cell>
          <cell r="K1553">
            <v>46069</v>
          </cell>
        </row>
        <row r="1554">
          <cell r="B1554" t="str">
            <v>EXP_RancoTDDQ22026_41</v>
          </cell>
          <cell r="C1554" t="str">
            <v>0132758_LM_Villa_Industrial_R1</v>
          </cell>
          <cell r="D1554" t="str">
            <v>M0854</v>
          </cell>
          <cell r="E1554" t="str">
            <v>RANCO TDD 2026</v>
          </cell>
          <cell r="F1554" t="str">
            <v>Expansiones</v>
          </cell>
          <cell r="G1554">
            <v>2026</v>
          </cell>
          <cell r="H1554" t="str">
            <v>Q2</v>
          </cell>
          <cell r="I1554" t="str">
            <v>Jason olivos</v>
          </cell>
          <cell r="J1554" t="str">
            <v>NO RFI</v>
          </cell>
          <cell r="K1554">
            <v>46069</v>
          </cell>
        </row>
        <row r="1555">
          <cell r="B1555" t="str">
            <v>EXP_RancoTDDQ22026_42</v>
          </cell>
          <cell r="C1555" t="str">
            <v>013253486_LM_Muebles_de_Villa</v>
          </cell>
          <cell r="D1555" t="str">
            <v>M0854</v>
          </cell>
          <cell r="E1555" t="str">
            <v>RANCO TDD 2026</v>
          </cell>
          <cell r="F1555" t="str">
            <v>Expansiones</v>
          </cell>
          <cell r="G1555">
            <v>2026</v>
          </cell>
          <cell r="H1555" t="str">
            <v>Q2</v>
          </cell>
          <cell r="I1555" t="str">
            <v>Jason olivos</v>
          </cell>
          <cell r="J1555" t="str">
            <v>NO RFI</v>
          </cell>
          <cell r="K1555">
            <v>46069</v>
          </cell>
        </row>
        <row r="1556">
          <cell r="B1556" t="str">
            <v>EXP_RancoTDDQ22026_43</v>
          </cell>
          <cell r="C1556" t="str">
            <v>0135924_LM_Vista_Alegre_San_Ju</v>
          </cell>
          <cell r="D1556" t="str">
            <v>M0854</v>
          </cell>
          <cell r="E1556" t="str">
            <v>RANCO TDD 2026</v>
          </cell>
          <cell r="F1556" t="str">
            <v>Expansiones</v>
          </cell>
          <cell r="G1556">
            <v>2026</v>
          </cell>
          <cell r="H1556" t="str">
            <v>Q2</v>
          </cell>
          <cell r="I1556" t="str">
            <v>Jason olivos</v>
          </cell>
          <cell r="J1556" t="str">
            <v>NO RFI</v>
          </cell>
          <cell r="K1556">
            <v>46069</v>
          </cell>
        </row>
        <row r="1557">
          <cell r="B1557" t="str">
            <v>EXP_RancoTDDQ22026_44</v>
          </cell>
          <cell r="C1557" t="str">
            <v>0136172_LM_Calle_Solidaridad</v>
          </cell>
          <cell r="D1557" t="str">
            <v>M0854</v>
          </cell>
          <cell r="E1557" t="str">
            <v>RANCO TDD 2026</v>
          </cell>
          <cell r="F1557" t="str">
            <v>Expansiones</v>
          </cell>
          <cell r="G1557">
            <v>2026</v>
          </cell>
          <cell r="H1557" t="str">
            <v>Q2</v>
          </cell>
          <cell r="I1557" t="str">
            <v>Jason olivos</v>
          </cell>
          <cell r="J1557" t="str">
            <v>NO RFI</v>
          </cell>
          <cell r="K1557">
            <v>46069</v>
          </cell>
        </row>
        <row r="1558">
          <cell r="B1558" t="str">
            <v>EXP_RancoTDDQ22026_45</v>
          </cell>
          <cell r="C1558" t="str">
            <v>0135959_LM_Boulevard_Mayo</v>
          </cell>
          <cell r="D1558" t="str">
            <v>M0854</v>
          </cell>
          <cell r="E1558" t="str">
            <v>RANCO TDD 2026</v>
          </cell>
          <cell r="F1558" t="str">
            <v>Expansiones</v>
          </cell>
          <cell r="G1558">
            <v>2026</v>
          </cell>
          <cell r="H1558" t="str">
            <v>Q2</v>
          </cell>
          <cell r="I1558" t="str">
            <v>Jason olivos</v>
          </cell>
          <cell r="J1558" t="str">
            <v>NO RFI</v>
          </cell>
          <cell r="K1558">
            <v>46069</v>
          </cell>
        </row>
        <row r="1559">
          <cell r="B1559" t="str">
            <v>EXP_RancoTDDQ22026_46</v>
          </cell>
          <cell r="C1559" t="str">
            <v>0130265_LM_Huayna_Capac</v>
          </cell>
          <cell r="D1559" t="str">
            <v>M0854</v>
          </cell>
          <cell r="E1559" t="str">
            <v>RANCO TDD 2026</v>
          </cell>
          <cell r="F1559" t="str">
            <v>Expansiones</v>
          </cell>
          <cell r="G1559">
            <v>2026</v>
          </cell>
          <cell r="H1559" t="str">
            <v>Q2</v>
          </cell>
          <cell r="I1559" t="str">
            <v>Jason olivos</v>
          </cell>
          <cell r="J1559" t="str">
            <v>NO RFI</v>
          </cell>
          <cell r="K1559">
            <v>46069</v>
          </cell>
        </row>
        <row r="1560">
          <cell r="B1560" t="str">
            <v>EXP_RancoTDDQ22026_47</v>
          </cell>
          <cell r="C1560" t="str">
            <v>0136191_LM_Union_Tablada</v>
          </cell>
          <cell r="D1560" t="str">
            <v>M0854</v>
          </cell>
          <cell r="E1560" t="str">
            <v>RANCO TDD 2026</v>
          </cell>
          <cell r="F1560" t="str">
            <v>Expansiones</v>
          </cell>
          <cell r="G1560">
            <v>2026</v>
          </cell>
          <cell r="H1560" t="str">
            <v>Q2</v>
          </cell>
          <cell r="I1560" t="str">
            <v>Jason olivos</v>
          </cell>
          <cell r="J1560" t="str">
            <v>NO RFI</v>
          </cell>
          <cell r="K1560">
            <v>46069</v>
          </cell>
        </row>
        <row r="1561">
          <cell r="B1561" t="str">
            <v>EXP_RancoTDDQ22026_48</v>
          </cell>
          <cell r="C1561" t="str">
            <v>0135136_LM_Delicias_De_Villa</v>
          </cell>
          <cell r="D1561" t="str">
            <v>M0854</v>
          </cell>
          <cell r="E1561" t="str">
            <v>RANCO TDD 2026</v>
          </cell>
          <cell r="F1561" t="str">
            <v>Expansiones</v>
          </cell>
          <cell r="G1561">
            <v>2026</v>
          </cell>
          <cell r="H1561" t="str">
            <v>Q2</v>
          </cell>
          <cell r="I1561" t="str">
            <v>Jason olivos</v>
          </cell>
          <cell r="J1561" t="str">
            <v>NO RFI</v>
          </cell>
          <cell r="K1561">
            <v>46069</v>
          </cell>
        </row>
        <row r="1562">
          <cell r="B1562" t="str">
            <v>EXP_RancoTDDQ22026_49</v>
          </cell>
          <cell r="C1562" t="str">
            <v>0130565_LM_Plaza_Vea_Chorrillo</v>
          </cell>
          <cell r="D1562" t="str">
            <v>M0854</v>
          </cell>
          <cell r="E1562" t="str">
            <v>RANCO TDD 2026</v>
          </cell>
          <cell r="F1562" t="str">
            <v>Expansiones</v>
          </cell>
          <cell r="G1562">
            <v>2026</v>
          </cell>
          <cell r="H1562" t="str">
            <v>Q2</v>
          </cell>
          <cell r="I1562" t="str">
            <v>Jason olivos</v>
          </cell>
          <cell r="J1562" t="str">
            <v>NO RFI</v>
          </cell>
          <cell r="K1562">
            <v>46069</v>
          </cell>
        </row>
        <row r="1563">
          <cell r="B1563" t="str">
            <v>EXP_RancoTDDQ22026_50</v>
          </cell>
          <cell r="C1563" t="str">
            <v>0135058_LM_Mariano_Puma</v>
          </cell>
          <cell r="D1563" t="str">
            <v>M0854</v>
          </cell>
          <cell r="E1563" t="str">
            <v>RANCO TDD 2026</v>
          </cell>
          <cell r="F1563" t="str">
            <v>Expansiones</v>
          </cell>
          <cell r="G1563">
            <v>2026</v>
          </cell>
          <cell r="H1563" t="str">
            <v>Q2</v>
          </cell>
          <cell r="I1563" t="str">
            <v>Jason olivos</v>
          </cell>
          <cell r="J1563" t="str">
            <v>NO RFI</v>
          </cell>
          <cell r="K1563">
            <v>46069</v>
          </cell>
        </row>
        <row r="1564">
          <cell r="B1564" t="str">
            <v>EXP_RancoTDDQ22026_51</v>
          </cell>
          <cell r="C1564" t="str">
            <v>0134417_LM_24_De_Junio</v>
          </cell>
          <cell r="D1564" t="str">
            <v>M0854</v>
          </cell>
          <cell r="E1564" t="str">
            <v>RANCO TDD 2026</v>
          </cell>
          <cell r="F1564" t="str">
            <v>Expansiones</v>
          </cell>
          <cell r="G1564">
            <v>2026</v>
          </cell>
          <cell r="H1564" t="str">
            <v>Q2</v>
          </cell>
          <cell r="I1564" t="str">
            <v>Jason olivos</v>
          </cell>
          <cell r="J1564" t="str">
            <v>NO RFI</v>
          </cell>
          <cell r="K1564">
            <v>46069</v>
          </cell>
        </row>
        <row r="1565">
          <cell r="B1565" t="str">
            <v>EXP_RancoTDDQ22026_52</v>
          </cell>
          <cell r="C1565" t="str">
            <v>0135907_LM_La_Viuda</v>
          </cell>
          <cell r="D1565" t="str">
            <v>M0854</v>
          </cell>
          <cell r="E1565" t="str">
            <v>RANCO TDD 2026</v>
          </cell>
          <cell r="F1565" t="str">
            <v>Expansiones</v>
          </cell>
          <cell r="G1565">
            <v>2026</v>
          </cell>
          <cell r="H1565" t="str">
            <v>Q2</v>
          </cell>
          <cell r="I1565" t="str">
            <v>Jason olivos</v>
          </cell>
          <cell r="J1565" t="str">
            <v>NO RFI</v>
          </cell>
          <cell r="K1565">
            <v>46069</v>
          </cell>
        </row>
        <row r="1566">
          <cell r="B1566" t="str">
            <v>EXP_RancoTDDQ22026_53</v>
          </cell>
          <cell r="C1566" t="str">
            <v>0135919_LM_Vista_Alegre_Villa</v>
          </cell>
          <cell r="D1566" t="str">
            <v>M0854</v>
          </cell>
          <cell r="E1566" t="str">
            <v>RANCO TDD 2026</v>
          </cell>
          <cell r="F1566" t="str">
            <v>Expansiones</v>
          </cell>
          <cell r="G1566">
            <v>2026</v>
          </cell>
          <cell r="H1566" t="str">
            <v>Q2</v>
          </cell>
          <cell r="I1566" t="str">
            <v>Jason olivos</v>
          </cell>
          <cell r="J1566" t="str">
            <v>NO RFI</v>
          </cell>
          <cell r="K1566">
            <v>46069</v>
          </cell>
        </row>
        <row r="1567">
          <cell r="B1567" t="str">
            <v>EXP_RancoTDDQ22026_54</v>
          </cell>
          <cell r="C1567" t="str">
            <v>0135916_LM_Nueva_Granada</v>
          </cell>
          <cell r="D1567" t="str">
            <v>M0854</v>
          </cell>
          <cell r="E1567" t="str">
            <v>RANCO TDD 2026</v>
          </cell>
          <cell r="F1567" t="str">
            <v>Expansiones</v>
          </cell>
          <cell r="G1567">
            <v>2026</v>
          </cell>
          <cell r="H1567" t="str">
            <v>Q2</v>
          </cell>
          <cell r="I1567" t="str">
            <v>Jason olivos</v>
          </cell>
          <cell r="J1567" t="str">
            <v>NO RFI</v>
          </cell>
          <cell r="K1567">
            <v>46069</v>
          </cell>
        </row>
        <row r="1568">
          <cell r="B1568" t="str">
            <v>EXP_RancoTDDQ22026_55</v>
          </cell>
          <cell r="C1568" t="str">
            <v>0132998_LM_El_Artesano</v>
          </cell>
          <cell r="D1568" t="str">
            <v>M0854</v>
          </cell>
          <cell r="E1568" t="str">
            <v>RANCO TDD 2026</v>
          </cell>
          <cell r="F1568" t="str">
            <v>Expansiones</v>
          </cell>
          <cell r="G1568">
            <v>2026</v>
          </cell>
          <cell r="H1568" t="str">
            <v>Q2</v>
          </cell>
          <cell r="I1568" t="str">
            <v>Jason olivos</v>
          </cell>
          <cell r="J1568" t="str">
            <v>NO RFI</v>
          </cell>
          <cell r="K1568">
            <v>46069</v>
          </cell>
        </row>
        <row r="1569">
          <cell r="B1569" t="str">
            <v>EXP_RancoTDDQ22026_56</v>
          </cell>
          <cell r="C1569" t="str">
            <v>0131890_LM_Fedichal</v>
          </cell>
          <cell r="D1569" t="str">
            <v>M0854</v>
          </cell>
          <cell r="E1569" t="str">
            <v>RANCO TDD 2026</v>
          </cell>
          <cell r="F1569" t="str">
            <v>Expansiones</v>
          </cell>
          <cell r="G1569">
            <v>2026</v>
          </cell>
          <cell r="H1569" t="str">
            <v>Q2</v>
          </cell>
          <cell r="I1569" t="str">
            <v>Jason olivos</v>
          </cell>
          <cell r="J1569" t="str">
            <v>NO RFI</v>
          </cell>
          <cell r="K1569">
            <v>46069</v>
          </cell>
        </row>
        <row r="1570">
          <cell r="B1570" t="str">
            <v>EXP_RancoTDDQ22026_57</v>
          </cell>
          <cell r="C1570" t="str">
            <v>013252373_LM_MercadoVillaMaria</v>
          </cell>
          <cell r="D1570" t="str">
            <v>M0854</v>
          </cell>
          <cell r="E1570" t="str">
            <v>RANCO TDD 2026</v>
          </cell>
          <cell r="F1570" t="str">
            <v>Expansiones</v>
          </cell>
          <cell r="G1570">
            <v>2026</v>
          </cell>
          <cell r="H1570" t="str">
            <v>Q2</v>
          </cell>
          <cell r="I1570" t="str">
            <v>Jason olivos</v>
          </cell>
          <cell r="J1570" t="str">
            <v>NO RFI</v>
          </cell>
          <cell r="K1570">
            <v>46069</v>
          </cell>
        </row>
        <row r="1571">
          <cell r="B1571" t="str">
            <v>EXP_RancoTDDQ22026_58</v>
          </cell>
          <cell r="C1571" t="str">
            <v>0134533_LM_Mercado_Sectorial</v>
          </cell>
          <cell r="D1571" t="str">
            <v>M0854</v>
          </cell>
          <cell r="E1571" t="str">
            <v>RANCO TDD 2026</v>
          </cell>
          <cell r="F1571" t="str">
            <v>Expansiones</v>
          </cell>
          <cell r="G1571">
            <v>2026</v>
          </cell>
          <cell r="H1571" t="str">
            <v>Q2</v>
          </cell>
          <cell r="I1571" t="str">
            <v>Jason olivos</v>
          </cell>
          <cell r="J1571" t="str">
            <v>NO RFI</v>
          </cell>
          <cell r="K1571">
            <v>46069</v>
          </cell>
        </row>
        <row r="1572">
          <cell r="B1572" t="str">
            <v>EXP_RancoTDDQ22026_59</v>
          </cell>
          <cell r="C1572" t="str">
            <v>0133284_LM_PS_Mariano_Pastor</v>
          </cell>
          <cell r="D1572" t="str">
            <v>M0854</v>
          </cell>
          <cell r="E1572" t="str">
            <v>RANCO TDD 2026</v>
          </cell>
          <cell r="F1572" t="str">
            <v>Expansiones</v>
          </cell>
          <cell r="G1572">
            <v>2026</v>
          </cell>
          <cell r="H1572" t="str">
            <v>Q2</v>
          </cell>
          <cell r="I1572" t="str">
            <v>Jason olivos</v>
          </cell>
          <cell r="J1572" t="str">
            <v>NO RFI</v>
          </cell>
          <cell r="K1572">
            <v>46069</v>
          </cell>
        </row>
        <row r="1573">
          <cell r="B1573" t="str">
            <v>EXP_RancoTDDQ22026_60</v>
          </cell>
          <cell r="C1573" t="str">
            <v>0135633_LM_PS_Parque_Tablada</v>
          </cell>
          <cell r="D1573" t="str">
            <v>M0854</v>
          </cell>
          <cell r="E1573" t="str">
            <v>RANCO TDD 2026</v>
          </cell>
          <cell r="F1573" t="str">
            <v>Expansiones</v>
          </cell>
          <cell r="G1573">
            <v>2026</v>
          </cell>
          <cell r="H1573" t="str">
            <v>Q2</v>
          </cell>
          <cell r="I1573" t="str">
            <v>Jason olivos</v>
          </cell>
          <cell r="J1573" t="str">
            <v>NO RFI</v>
          </cell>
          <cell r="K1573">
            <v>46069</v>
          </cell>
        </row>
        <row r="1574">
          <cell r="B1574" t="str">
            <v>EXP_RancoTDDQ22026_61</v>
          </cell>
          <cell r="C1574" t="str">
            <v>0130105_LM_Las_Torres</v>
          </cell>
          <cell r="D1574" t="str">
            <v>M0854</v>
          </cell>
          <cell r="E1574" t="str">
            <v>RANCO TDD 2026</v>
          </cell>
          <cell r="F1574" t="str">
            <v>Expansiones</v>
          </cell>
          <cell r="G1574">
            <v>2026</v>
          </cell>
          <cell r="H1574" t="str">
            <v>Q2</v>
          </cell>
          <cell r="I1574" t="str">
            <v>Jason olivos</v>
          </cell>
          <cell r="J1574" t="str">
            <v>NO RFI</v>
          </cell>
          <cell r="K1574">
            <v>46069</v>
          </cell>
        </row>
        <row r="1575">
          <cell r="B1575" t="str">
            <v>EXP_RancoTDDQ22026_62</v>
          </cell>
          <cell r="C1575" t="str">
            <v>0130334_LM_Gaviotas</v>
          </cell>
          <cell r="D1575" t="str">
            <v>M0854</v>
          </cell>
          <cell r="E1575" t="str">
            <v>RANCO TDD 2026</v>
          </cell>
          <cell r="F1575" t="str">
            <v>Expansiones</v>
          </cell>
          <cell r="G1575">
            <v>2026</v>
          </cell>
          <cell r="H1575" t="str">
            <v>Q2</v>
          </cell>
          <cell r="I1575" t="str">
            <v>Jason olivos</v>
          </cell>
          <cell r="J1575" t="str">
            <v>NO RFI</v>
          </cell>
          <cell r="K1575">
            <v>46069</v>
          </cell>
        </row>
        <row r="1576">
          <cell r="B1576" t="str">
            <v>EXP_RancoTDDQ22026_63</v>
          </cell>
          <cell r="C1576" t="str">
            <v>013254632_LM_Union_VMT</v>
          </cell>
          <cell r="D1576" t="str">
            <v>M0854</v>
          </cell>
          <cell r="E1576" t="str">
            <v>RANCO TDD 2026</v>
          </cell>
          <cell r="F1576" t="str">
            <v>Expansiones</v>
          </cell>
          <cell r="G1576">
            <v>2026</v>
          </cell>
          <cell r="H1576" t="str">
            <v>Q2</v>
          </cell>
          <cell r="I1576" t="str">
            <v>Jason olivos</v>
          </cell>
          <cell r="J1576" t="str">
            <v>NO RFI</v>
          </cell>
          <cell r="K1576">
            <v>46069</v>
          </cell>
        </row>
        <row r="1577">
          <cell r="B1577" t="str">
            <v>EXP_RancoTDDQ22026_64</v>
          </cell>
          <cell r="C1577" t="str">
            <v>0130575_LM_Matellini_R2</v>
          </cell>
          <cell r="D1577" t="str">
            <v>M0854</v>
          </cell>
          <cell r="E1577" t="str">
            <v>RANCO TDD 2026</v>
          </cell>
          <cell r="F1577" t="str">
            <v>Expansiones</v>
          </cell>
          <cell r="G1577">
            <v>2026</v>
          </cell>
          <cell r="H1577" t="str">
            <v>Q2</v>
          </cell>
          <cell r="I1577" t="str">
            <v>Jason olivos</v>
          </cell>
          <cell r="J1577" t="str">
            <v>NO RFI</v>
          </cell>
          <cell r="K1577">
            <v>46069</v>
          </cell>
        </row>
        <row r="1578">
          <cell r="B1578" t="str">
            <v>EXP_RancoTDDQ22026_65</v>
          </cell>
          <cell r="C1578" t="str">
            <v>0134782_LM_La_Campina_R2</v>
          </cell>
          <cell r="D1578" t="str">
            <v>M0854</v>
          </cell>
          <cell r="E1578" t="str">
            <v>RANCO TDD 2026</v>
          </cell>
          <cell r="F1578" t="str">
            <v>Expansiones</v>
          </cell>
          <cell r="G1578">
            <v>2026</v>
          </cell>
          <cell r="H1578" t="str">
            <v>Q2</v>
          </cell>
          <cell r="I1578" t="str">
            <v>Jason olivos</v>
          </cell>
          <cell r="J1578" t="str">
            <v>NO RFI</v>
          </cell>
          <cell r="K1578">
            <v>46069</v>
          </cell>
        </row>
        <row r="1579">
          <cell r="B1579" t="str">
            <v>EXP_RancoTDDQ22026_66</v>
          </cell>
          <cell r="C1579" t="str">
            <v>013252274_LM_Valle_Sharon_R1</v>
          </cell>
          <cell r="D1579" t="str">
            <v>M0854</v>
          </cell>
          <cell r="E1579" t="str">
            <v>RANCO TDD 2026</v>
          </cell>
          <cell r="F1579" t="str">
            <v>Expansiones</v>
          </cell>
          <cell r="G1579">
            <v>2026</v>
          </cell>
          <cell r="H1579" t="str">
            <v>Q2</v>
          </cell>
          <cell r="I1579" t="str">
            <v>Jason olivos</v>
          </cell>
          <cell r="J1579" t="str">
            <v>NO RFI</v>
          </cell>
          <cell r="K1579">
            <v>46069</v>
          </cell>
        </row>
        <row r="1580">
          <cell r="B1580" t="str">
            <v>EXP_RancoTDDQ22026_67</v>
          </cell>
          <cell r="C1580" t="str">
            <v>0135129_LM_Alemania_Federal</v>
          </cell>
          <cell r="D1580" t="str">
            <v>M0854</v>
          </cell>
          <cell r="E1580" t="str">
            <v>RANCO TDD 2026</v>
          </cell>
          <cell r="F1580" t="str">
            <v>Expansiones</v>
          </cell>
          <cell r="G1580">
            <v>2026</v>
          </cell>
          <cell r="H1580" t="str">
            <v>Q2</v>
          </cell>
          <cell r="I1580" t="str">
            <v>Jason olivos</v>
          </cell>
          <cell r="J1580" t="str">
            <v>NO RFI</v>
          </cell>
          <cell r="K1580">
            <v>46069</v>
          </cell>
        </row>
        <row r="1581">
          <cell r="B1581" t="str">
            <v>EXP_RancoTDDQ22026_68</v>
          </cell>
          <cell r="C1581" t="str">
            <v>0135127_LM_San_Juan_Zona_B</v>
          </cell>
          <cell r="D1581" t="str">
            <v>M0854</v>
          </cell>
          <cell r="E1581" t="str">
            <v>RANCO TDD 2026</v>
          </cell>
          <cell r="F1581" t="str">
            <v>Expansiones</v>
          </cell>
          <cell r="G1581">
            <v>2026</v>
          </cell>
          <cell r="H1581" t="str">
            <v>Q2</v>
          </cell>
          <cell r="I1581" t="str">
            <v>Jason olivos</v>
          </cell>
          <cell r="J1581" t="str">
            <v>NO RFI</v>
          </cell>
          <cell r="K1581">
            <v>46069</v>
          </cell>
        </row>
        <row r="1582">
          <cell r="B1582" t="str">
            <v>EXP_RancoTDDQ22026_69</v>
          </cell>
          <cell r="C1582" t="str">
            <v>0134742_LM_Jose_Vilchez</v>
          </cell>
          <cell r="D1582" t="str">
            <v>M0854</v>
          </cell>
          <cell r="E1582" t="str">
            <v>RANCO TDD 2026</v>
          </cell>
          <cell r="F1582" t="str">
            <v>Expansiones</v>
          </cell>
          <cell r="G1582">
            <v>2026</v>
          </cell>
          <cell r="H1582" t="str">
            <v>Q2</v>
          </cell>
          <cell r="I1582" t="str">
            <v>Jason olivos</v>
          </cell>
          <cell r="J1582" t="str">
            <v>NO RFI</v>
          </cell>
          <cell r="K1582">
            <v>46069</v>
          </cell>
        </row>
        <row r="1583">
          <cell r="B1583" t="str">
            <v>EXP_RancoTDDQ22026_70</v>
          </cell>
          <cell r="C1583" t="str">
            <v>0130264_LM_Los_Parrales</v>
          </cell>
          <cell r="D1583" t="str">
            <v>M0854</v>
          </cell>
          <cell r="E1583" t="str">
            <v>RANCO TDD 2026</v>
          </cell>
          <cell r="F1583" t="str">
            <v>Expansiones</v>
          </cell>
          <cell r="G1583">
            <v>2026</v>
          </cell>
          <cell r="H1583" t="str">
            <v>Q2</v>
          </cell>
          <cell r="I1583" t="str">
            <v>Jason olivos</v>
          </cell>
          <cell r="J1583" t="str">
            <v>NO RFI</v>
          </cell>
          <cell r="K1583">
            <v>46069</v>
          </cell>
        </row>
        <row r="1584">
          <cell r="B1584" t="str">
            <v>EXP_RancoTDDQ22026_71</v>
          </cell>
          <cell r="C1584" t="str">
            <v>0136080_LM_Pedro_Laos_Hurtado</v>
          </cell>
          <cell r="D1584" t="str">
            <v>M0854</v>
          </cell>
          <cell r="E1584" t="str">
            <v>RANCO TDD 2026</v>
          </cell>
          <cell r="F1584" t="str">
            <v>Expansiones</v>
          </cell>
          <cell r="G1584">
            <v>2026</v>
          </cell>
          <cell r="H1584" t="str">
            <v>Q2</v>
          </cell>
          <cell r="I1584" t="str">
            <v>Jason olivos</v>
          </cell>
          <cell r="J1584" t="str">
            <v>NO RFI</v>
          </cell>
          <cell r="K1584">
            <v>46069</v>
          </cell>
        </row>
        <row r="1585">
          <cell r="B1585" t="str">
            <v>EXP_RancoTDDQ22026_72</v>
          </cell>
          <cell r="C1585" t="str">
            <v>0135152_LM_Villa_Jardin</v>
          </cell>
          <cell r="D1585" t="str">
            <v>M0854</v>
          </cell>
          <cell r="E1585" t="str">
            <v>RANCO TDD 2026</v>
          </cell>
          <cell r="F1585" t="str">
            <v>Expansiones</v>
          </cell>
          <cell r="G1585">
            <v>2026</v>
          </cell>
          <cell r="H1585" t="str">
            <v>Q2</v>
          </cell>
          <cell r="I1585" t="str">
            <v>Jason olivos</v>
          </cell>
          <cell r="J1585" t="str">
            <v>NO RFI</v>
          </cell>
          <cell r="K1585">
            <v>46069</v>
          </cell>
        </row>
        <row r="1586">
          <cell r="B1586" t="str">
            <v>EXP_RancoTDDQ22026_73</v>
          </cell>
          <cell r="C1586" t="str">
            <v>0130299_LM_Montero</v>
          </cell>
          <cell r="D1586" t="str">
            <v>M0854</v>
          </cell>
          <cell r="E1586" t="str">
            <v>RANCO TDD 2026</v>
          </cell>
          <cell r="F1586" t="str">
            <v>Expansiones</v>
          </cell>
          <cell r="G1586">
            <v>2026</v>
          </cell>
          <cell r="H1586" t="str">
            <v>Q2</v>
          </cell>
          <cell r="I1586" t="str">
            <v>Jason olivos</v>
          </cell>
          <cell r="J1586" t="str">
            <v>NO RFI</v>
          </cell>
          <cell r="K1586">
            <v>46069</v>
          </cell>
        </row>
        <row r="1587">
          <cell r="B1587" t="str">
            <v>EXP_RancoTDDQ22026_74</v>
          </cell>
          <cell r="C1587" t="str">
            <v>0136183_LM_Calle_Sarmiento</v>
          </cell>
          <cell r="D1587" t="str">
            <v>M0854</v>
          </cell>
          <cell r="E1587" t="str">
            <v>RANCO TDD 2026</v>
          </cell>
          <cell r="F1587" t="str">
            <v>Expansiones</v>
          </cell>
          <cell r="G1587">
            <v>2026</v>
          </cell>
          <cell r="H1587" t="str">
            <v>Q2</v>
          </cell>
          <cell r="I1587" t="str">
            <v>Jason olivos</v>
          </cell>
          <cell r="J1587" t="str">
            <v>NO RFI</v>
          </cell>
          <cell r="K1587">
            <v>46069</v>
          </cell>
        </row>
        <row r="1588">
          <cell r="B1588" t="str">
            <v>EXP_RancoTDDQ22026_75</v>
          </cell>
          <cell r="C1588" t="str">
            <v>013255121_LM_PS_Muni_Villa_Maria</v>
          </cell>
          <cell r="D1588" t="str">
            <v>M0854</v>
          </cell>
          <cell r="E1588" t="str">
            <v>RANCO TDD 2026</v>
          </cell>
          <cell r="F1588" t="str">
            <v>Expansiones</v>
          </cell>
          <cell r="G1588">
            <v>2026</v>
          </cell>
          <cell r="H1588" t="str">
            <v>Q2</v>
          </cell>
          <cell r="I1588" t="str">
            <v>Jason olivos</v>
          </cell>
          <cell r="J1588" t="str">
            <v>NO RFI</v>
          </cell>
          <cell r="K1588">
            <v>46069</v>
          </cell>
        </row>
        <row r="1589">
          <cell r="B1589" t="str">
            <v>EXP_RancoTDDQ22026_76</v>
          </cell>
          <cell r="C1589" t="str">
            <v>0130267_LM_Billinghurst</v>
          </cell>
          <cell r="D1589" t="str">
            <v>M0854</v>
          </cell>
          <cell r="E1589" t="str">
            <v>RANCO TDD 2026</v>
          </cell>
          <cell r="F1589" t="str">
            <v>Expansiones</v>
          </cell>
          <cell r="G1589">
            <v>2026</v>
          </cell>
          <cell r="H1589" t="str">
            <v>Q2</v>
          </cell>
          <cell r="I1589" t="str">
            <v>Jason olivos</v>
          </cell>
          <cell r="J1589" t="str">
            <v>NO RFI</v>
          </cell>
          <cell r="K1589">
            <v>46069</v>
          </cell>
        </row>
        <row r="1590">
          <cell r="B1590" t="str">
            <v>EXP_RancoTDDQ22026_77</v>
          </cell>
          <cell r="C1590" t="str">
            <v>0130033_LM_San_Juan_de_Mirafl</v>
          </cell>
          <cell r="D1590" t="str">
            <v>M0854</v>
          </cell>
          <cell r="E1590" t="str">
            <v>RANCO TDD 2026</v>
          </cell>
          <cell r="F1590" t="str">
            <v>Expansiones</v>
          </cell>
          <cell r="G1590">
            <v>2026</v>
          </cell>
          <cell r="H1590" t="str">
            <v>Q2</v>
          </cell>
          <cell r="I1590" t="str">
            <v>Jason olivos</v>
          </cell>
          <cell r="J1590" t="str">
            <v>NO RFI</v>
          </cell>
          <cell r="K1590">
            <v>46069</v>
          </cell>
        </row>
        <row r="1591">
          <cell r="B1591" t="str">
            <v>EXP_RancoTDDQ22026_78</v>
          </cell>
          <cell r="C1591" t="str">
            <v>0130248_LM_Miota</v>
          </cell>
          <cell r="D1591" t="str">
            <v>M0854</v>
          </cell>
          <cell r="E1591" t="str">
            <v>RANCO TDD 2026</v>
          </cell>
          <cell r="F1591" t="str">
            <v>Expansiones</v>
          </cell>
          <cell r="G1591">
            <v>2026</v>
          </cell>
          <cell r="H1591" t="str">
            <v>Q2</v>
          </cell>
          <cell r="I1591" t="str">
            <v>Jason olivos</v>
          </cell>
          <cell r="J1591" t="str">
            <v>NO RFI</v>
          </cell>
          <cell r="K1591">
            <v>46069</v>
          </cell>
        </row>
        <row r="1592">
          <cell r="B1592" t="str">
            <v>EXP_RancoTDDQ22026_79</v>
          </cell>
          <cell r="C1592" t="str">
            <v>0134526_LM_Medrano</v>
          </cell>
          <cell r="D1592" t="str">
            <v>M0854</v>
          </cell>
          <cell r="E1592" t="str">
            <v>RANCO TDD 2026</v>
          </cell>
          <cell r="F1592" t="str">
            <v>Expansiones</v>
          </cell>
          <cell r="G1592">
            <v>2026</v>
          </cell>
          <cell r="H1592" t="str">
            <v>Q2</v>
          </cell>
          <cell r="I1592" t="str">
            <v>Jason olivos</v>
          </cell>
          <cell r="J1592" t="str">
            <v>NO RFI</v>
          </cell>
          <cell r="K1592">
            <v>46069</v>
          </cell>
        </row>
        <row r="1593">
          <cell r="B1593" t="str">
            <v>EXP_RancoTDDQ22026_80</v>
          </cell>
          <cell r="C1593" t="str">
            <v>0135775_LM_San_Luis_Vmt</v>
          </cell>
          <cell r="D1593" t="str">
            <v>M0854</v>
          </cell>
          <cell r="E1593" t="str">
            <v>RANCO TDD 2026</v>
          </cell>
          <cell r="F1593" t="str">
            <v>Expansiones</v>
          </cell>
          <cell r="G1593">
            <v>2026</v>
          </cell>
          <cell r="H1593" t="str">
            <v>Q2</v>
          </cell>
          <cell r="I1593" t="str">
            <v>Jason olivos</v>
          </cell>
          <cell r="J1593" t="str">
            <v>NO RFI</v>
          </cell>
          <cell r="K1593">
            <v>46069</v>
          </cell>
        </row>
        <row r="1594">
          <cell r="B1594" t="str">
            <v>EXP_RancoTDDQ22026_81</v>
          </cell>
          <cell r="C1594" t="str">
            <v>0135929_LM_El_Point</v>
          </cell>
          <cell r="D1594" t="str">
            <v>M0854</v>
          </cell>
          <cell r="E1594" t="str">
            <v>RANCO TDD 2026</v>
          </cell>
          <cell r="F1594" t="str">
            <v>Expansiones</v>
          </cell>
          <cell r="G1594">
            <v>2026</v>
          </cell>
          <cell r="H1594" t="str">
            <v>Q2</v>
          </cell>
          <cell r="I1594" t="str">
            <v>Jason olivos</v>
          </cell>
          <cell r="J1594" t="str">
            <v>NO RFI</v>
          </cell>
          <cell r="K1594">
            <v>46069</v>
          </cell>
        </row>
        <row r="1595">
          <cell r="B1595" t="str">
            <v>EXP_RancoTDDQ22026_82</v>
          </cell>
          <cell r="C1595" t="str">
            <v>0135124_LM_Pagador</v>
          </cell>
          <cell r="D1595" t="str">
            <v>M0854</v>
          </cell>
          <cell r="E1595" t="str">
            <v>RANCO TDD 2026</v>
          </cell>
          <cell r="F1595" t="str">
            <v>Expansiones</v>
          </cell>
          <cell r="G1595">
            <v>2026</v>
          </cell>
          <cell r="H1595" t="str">
            <v>Q2</v>
          </cell>
          <cell r="I1595" t="str">
            <v>Jason olivos</v>
          </cell>
          <cell r="J1595" t="str">
            <v>NO RFI</v>
          </cell>
          <cell r="K1595">
            <v>46069</v>
          </cell>
        </row>
        <row r="1596">
          <cell r="B1596" t="str">
            <v>EXP_RancoTDDQ22026_83</v>
          </cell>
          <cell r="C1596" t="str">
            <v>0130438_LM_Monte_Abeto</v>
          </cell>
          <cell r="D1596" t="str">
            <v>M0854</v>
          </cell>
          <cell r="E1596" t="str">
            <v>RANCO TDD 2026</v>
          </cell>
          <cell r="F1596" t="str">
            <v>Expansiones</v>
          </cell>
          <cell r="G1596">
            <v>2026</v>
          </cell>
          <cell r="H1596" t="str">
            <v>Q2</v>
          </cell>
          <cell r="I1596" t="str">
            <v>Jason olivos</v>
          </cell>
          <cell r="J1596" t="str">
            <v>NO RFI</v>
          </cell>
          <cell r="K1596">
            <v>46069</v>
          </cell>
        </row>
        <row r="1597">
          <cell r="B1597" t="str">
            <v>EXP_RancoTDDQ22026_84</v>
          </cell>
          <cell r="C1597" t="str">
            <v>0134521_LM_Mariano_Campos</v>
          </cell>
          <cell r="D1597" t="str">
            <v>M0854</v>
          </cell>
          <cell r="E1597" t="str">
            <v>RANCO TDD 2026</v>
          </cell>
          <cell r="F1597" t="str">
            <v>Expansiones</v>
          </cell>
          <cell r="G1597">
            <v>2026</v>
          </cell>
          <cell r="H1597" t="str">
            <v>Q2</v>
          </cell>
          <cell r="I1597" t="str">
            <v>Jason olivos</v>
          </cell>
          <cell r="J1597" t="str">
            <v>NO RFI</v>
          </cell>
          <cell r="K1597">
            <v>46069</v>
          </cell>
        </row>
        <row r="1598">
          <cell r="B1598" t="str">
            <v>EXP_RancoTDDQ22026_85</v>
          </cell>
          <cell r="C1598" t="str">
            <v>0130446_LM_Vallecito</v>
          </cell>
          <cell r="D1598" t="str">
            <v>M0854</v>
          </cell>
          <cell r="E1598" t="str">
            <v>RANCO TDD 2026</v>
          </cell>
          <cell r="F1598" t="str">
            <v>Expansiones</v>
          </cell>
          <cell r="G1598">
            <v>2026</v>
          </cell>
          <cell r="H1598" t="str">
            <v>Q2</v>
          </cell>
          <cell r="I1598" t="str">
            <v>Jason olivos</v>
          </cell>
          <cell r="J1598" t="str">
            <v>NO RFI</v>
          </cell>
          <cell r="K1598">
            <v>46069</v>
          </cell>
        </row>
        <row r="1599">
          <cell r="B1599" t="str">
            <v>EXP_RancoTDDQ22026_86</v>
          </cell>
          <cell r="C1599" t="str">
            <v>0132782_CS_Izcuchaca</v>
          </cell>
          <cell r="D1599" t="str">
            <v>M0854</v>
          </cell>
          <cell r="E1599" t="str">
            <v>RANCO TDD 2026</v>
          </cell>
          <cell r="F1599" t="str">
            <v>Expansiones</v>
          </cell>
          <cell r="G1599">
            <v>2026</v>
          </cell>
          <cell r="H1599" t="str">
            <v>Q2</v>
          </cell>
          <cell r="I1599" t="str">
            <v>Jason olivos</v>
          </cell>
          <cell r="J1599" t="str">
            <v>NO RFI</v>
          </cell>
          <cell r="K1599">
            <v>46069</v>
          </cell>
        </row>
        <row r="1600">
          <cell r="B1600" t="str">
            <v>EXP_RancoTDDQ22026_87</v>
          </cell>
          <cell r="C1600" t="str">
            <v>0135134_LM_El_Altiplano</v>
          </cell>
          <cell r="D1600" t="str">
            <v>M0854</v>
          </cell>
          <cell r="E1600" t="str">
            <v>RANCO TDD 2026</v>
          </cell>
          <cell r="F1600" t="str">
            <v>Expansiones</v>
          </cell>
          <cell r="G1600">
            <v>2026</v>
          </cell>
          <cell r="H1600" t="str">
            <v>Q2</v>
          </cell>
          <cell r="I1600" t="str">
            <v>Jason olivos</v>
          </cell>
          <cell r="J1600" t="str">
            <v>NO RFI</v>
          </cell>
          <cell r="K1600">
            <v>46069</v>
          </cell>
        </row>
        <row r="1601">
          <cell r="B1601" t="str">
            <v>EXP_RancoTDDQ22026_88</v>
          </cell>
          <cell r="C1601" t="str">
            <v>0135821_LM_Loma_Amorosa</v>
          </cell>
          <cell r="D1601" t="str">
            <v>M0854</v>
          </cell>
          <cell r="E1601" t="str">
            <v>RANCO TDD 2026</v>
          </cell>
          <cell r="F1601" t="str">
            <v>Expansiones</v>
          </cell>
          <cell r="G1601">
            <v>2026</v>
          </cell>
          <cell r="H1601" t="str">
            <v>Q2</v>
          </cell>
          <cell r="I1601" t="str">
            <v>Jason olivos</v>
          </cell>
          <cell r="J1601" t="str">
            <v>NO RFI</v>
          </cell>
          <cell r="K1601">
            <v>46069</v>
          </cell>
        </row>
        <row r="1602">
          <cell r="B1602" t="str">
            <v>EXP_RancoTDDQ22026_89</v>
          </cell>
          <cell r="C1602" t="str">
            <v>0135925_LM_Buenaventura_Aguirr</v>
          </cell>
          <cell r="D1602" t="str">
            <v>M0854</v>
          </cell>
          <cell r="E1602" t="str">
            <v>RANCO TDD 2026</v>
          </cell>
          <cell r="F1602" t="str">
            <v>Expansiones</v>
          </cell>
          <cell r="G1602">
            <v>2026</v>
          </cell>
          <cell r="H1602" t="str">
            <v>Q2</v>
          </cell>
          <cell r="I1602" t="str">
            <v>Jason olivos</v>
          </cell>
          <cell r="J1602" t="str">
            <v>NO RFI</v>
          </cell>
          <cell r="K1602">
            <v>46069</v>
          </cell>
        </row>
        <row r="1603">
          <cell r="B1603" t="str">
            <v>EXP_RancoTDDQ22026_90</v>
          </cell>
          <cell r="C1603" t="str">
            <v>0131580_LM_Villa_Limatambo</v>
          </cell>
          <cell r="D1603" t="str">
            <v>M0854</v>
          </cell>
          <cell r="E1603" t="str">
            <v>RANCO TDD 2026</v>
          </cell>
          <cell r="F1603" t="str">
            <v>Expansiones</v>
          </cell>
          <cell r="G1603">
            <v>2026</v>
          </cell>
          <cell r="H1603" t="str">
            <v>Q2</v>
          </cell>
          <cell r="I1603" t="str">
            <v>Jason olivos</v>
          </cell>
          <cell r="J1603" t="str">
            <v>NO RFI</v>
          </cell>
          <cell r="K1603">
            <v>46069</v>
          </cell>
        </row>
        <row r="1604">
          <cell r="B1604" t="str">
            <v>EXP_RancoTDDQ22026_91</v>
          </cell>
          <cell r="C1604" t="str">
            <v>0132328_LM_Ayacucho_R1</v>
          </cell>
          <cell r="D1604" t="str">
            <v>M0854</v>
          </cell>
          <cell r="E1604" t="str">
            <v>RANCO TDD 2026</v>
          </cell>
          <cell r="F1604" t="str">
            <v>Expansiones</v>
          </cell>
          <cell r="G1604">
            <v>2026</v>
          </cell>
          <cell r="H1604" t="str">
            <v>Q2</v>
          </cell>
          <cell r="I1604" t="str">
            <v>Jason olivos</v>
          </cell>
          <cell r="J1604" t="str">
            <v>NO RFI</v>
          </cell>
          <cell r="K1604">
            <v>46069</v>
          </cell>
        </row>
        <row r="1605">
          <cell r="B1605" t="str">
            <v>EXP_RancoTDDQ22026_92</v>
          </cell>
          <cell r="C1605" t="str">
            <v>0132965_LM_Eden_R1</v>
          </cell>
          <cell r="D1605" t="str">
            <v>M0854</v>
          </cell>
          <cell r="E1605" t="str">
            <v>RANCO TDD 2026</v>
          </cell>
          <cell r="F1605" t="str">
            <v>Expansiones</v>
          </cell>
          <cell r="G1605">
            <v>2026</v>
          </cell>
          <cell r="H1605" t="str">
            <v>Q2</v>
          </cell>
          <cell r="I1605" t="str">
            <v>Jason olivos</v>
          </cell>
          <cell r="J1605" t="str">
            <v>NO RFI</v>
          </cell>
          <cell r="K1605">
            <v>46069</v>
          </cell>
        </row>
        <row r="1606">
          <cell r="B1606" t="str">
            <v>EXP_RancoTDDQ22026_93</v>
          </cell>
          <cell r="C1606" t="str">
            <v>0135889_LM_Carmelitas</v>
          </cell>
          <cell r="D1606" t="str">
            <v>M0854</v>
          </cell>
          <cell r="E1606" t="str">
            <v>RANCO TDD 2026</v>
          </cell>
          <cell r="F1606" t="str">
            <v>Expansiones</v>
          </cell>
          <cell r="G1606">
            <v>2026</v>
          </cell>
          <cell r="H1606" t="str">
            <v>Q2</v>
          </cell>
          <cell r="I1606" t="str">
            <v>Jason olivos</v>
          </cell>
          <cell r="J1606" t="str">
            <v>NO RFI</v>
          </cell>
          <cell r="K1606">
            <v>46069</v>
          </cell>
        </row>
        <row r="1607">
          <cell r="B1607" t="str">
            <v>EXP_RancoTDDQ22026_94</v>
          </cell>
          <cell r="C1607" t="str">
            <v>0135947_LM_Casimiro_Ulloa_R1</v>
          </cell>
          <cell r="D1607" t="str">
            <v>M0854</v>
          </cell>
          <cell r="E1607" t="str">
            <v>RANCO TDD 2026</v>
          </cell>
          <cell r="F1607" t="str">
            <v>Expansiones</v>
          </cell>
          <cell r="G1607">
            <v>2026</v>
          </cell>
          <cell r="H1607" t="str">
            <v>Q2</v>
          </cell>
          <cell r="I1607" t="str">
            <v>Jason olivos</v>
          </cell>
          <cell r="J1607" t="str">
            <v>NO RFI</v>
          </cell>
          <cell r="K1607">
            <v>46069</v>
          </cell>
        </row>
        <row r="1608">
          <cell r="B1608" t="str">
            <v>EXP_RancoTDDQ22026_95</v>
          </cell>
          <cell r="C1608" t="str">
            <v>013251353_LM_Maria_Angola_Temp</v>
          </cell>
          <cell r="D1608" t="str">
            <v>M0854</v>
          </cell>
          <cell r="E1608" t="str">
            <v>RANCO TDD 2026</v>
          </cell>
          <cell r="F1608" t="str">
            <v>Expansiones</v>
          </cell>
          <cell r="G1608">
            <v>2026</v>
          </cell>
          <cell r="H1608" t="str">
            <v>Q2</v>
          </cell>
          <cell r="I1608" t="str">
            <v>Jason olivos</v>
          </cell>
          <cell r="J1608" t="str">
            <v>NO RFI</v>
          </cell>
          <cell r="K1608">
            <v>46069</v>
          </cell>
        </row>
        <row r="1609">
          <cell r="B1609" t="str">
            <v>EXP_RancoTDDQ22026_96</v>
          </cell>
          <cell r="C1609" t="str">
            <v>013251496_LM_Ramirez_Gaston</v>
          </cell>
          <cell r="D1609" t="str">
            <v>M0854</v>
          </cell>
          <cell r="E1609" t="str">
            <v>RANCO TDD 2026</v>
          </cell>
          <cell r="F1609" t="str">
            <v>Expansiones</v>
          </cell>
          <cell r="G1609">
            <v>2026</v>
          </cell>
          <cell r="H1609" t="str">
            <v>Q2</v>
          </cell>
          <cell r="I1609" t="str">
            <v>Jason olivos</v>
          </cell>
          <cell r="J1609" t="str">
            <v>NO RFI</v>
          </cell>
          <cell r="K1609">
            <v>46069</v>
          </cell>
        </row>
        <row r="1610">
          <cell r="B1610" t="str">
            <v>EXP_RancoTDDQ22026_97</v>
          </cell>
          <cell r="C1610" t="str">
            <v>0133528_LH_Huanuco_Centro</v>
          </cell>
          <cell r="D1610" t="str">
            <v>M0854</v>
          </cell>
          <cell r="E1610" t="str">
            <v>RANCO TDD 2026</v>
          </cell>
          <cell r="F1610" t="str">
            <v>Expansiones</v>
          </cell>
          <cell r="G1610">
            <v>2026</v>
          </cell>
          <cell r="H1610" t="str">
            <v>Q2</v>
          </cell>
          <cell r="I1610" t="str">
            <v>Jason olivos</v>
          </cell>
          <cell r="J1610" t="str">
            <v>NO RFI</v>
          </cell>
          <cell r="K1610">
            <v>46069</v>
          </cell>
        </row>
        <row r="1611">
          <cell r="B1611" t="str">
            <v>EXP_RancoTDDQ22026_98</v>
          </cell>
          <cell r="C1611" t="str">
            <v>0136139_LM_Estacion_Angamos</v>
          </cell>
          <cell r="D1611" t="str">
            <v>M0854</v>
          </cell>
          <cell r="E1611" t="str">
            <v>RANCO TDD 2026</v>
          </cell>
          <cell r="F1611" t="str">
            <v>Expansiones</v>
          </cell>
          <cell r="G1611">
            <v>2026</v>
          </cell>
          <cell r="H1611" t="str">
            <v>Q2</v>
          </cell>
          <cell r="I1611" t="str">
            <v>Jason olivos</v>
          </cell>
          <cell r="J1611" t="str">
            <v>NO RFI</v>
          </cell>
          <cell r="K1611">
            <v>46069</v>
          </cell>
        </row>
        <row r="1612">
          <cell r="B1612" t="str">
            <v>EXP_RancoTDDQ22026_99</v>
          </cell>
          <cell r="C1612" t="str">
            <v>0130081_LM_Santa_Maria</v>
          </cell>
          <cell r="D1612" t="str">
            <v>M0854</v>
          </cell>
          <cell r="E1612" t="str">
            <v>RANCO TDD 2026</v>
          </cell>
          <cell r="F1612" t="str">
            <v>Expansiones</v>
          </cell>
          <cell r="G1612">
            <v>2026</v>
          </cell>
          <cell r="H1612" t="str">
            <v>Q2</v>
          </cell>
          <cell r="I1612" t="str">
            <v>Jason olivos</v>
          </cell>
          <cell r="J1612" t="str">
            <v>NO RFI</v>
          </cell>
          <cell r="K1612">
            <v>46069</v>
          </cell>
        </row>
        <row r="1613">
          <cell r="B1613" t="str">
            <v>EXP_RancoTDDQ22026_100</v>
          </cell>
          <cell r="C1613" t="str">
            <v>0135199_LM_Manchay</v>
          </cell>
          <cell r="D1613" t="str">
            <v>M0854</v>
          </cell>
          <cell r="E1613" t="str">
            <v>RANCO TDD 2026</v>
          </cell>
          <cell r="F1613" t="str">
            <v>Expansiones</v>
          </cell>
          <cell r="G1613">
            <v>2026</v>
          </cell>
          <cell r="H1613" t="str">
            <v>Q2</v>
          </cell>
          <cell r="I1613" t="str">
            <v>Jason olivos</v>
          </cell>
          <cell r="J1613" t="str">
            <v>NO RFI</v>
          </cell>
          <cell r="K1613">
            <v>46069</v>
          </cell>
        </row>
        <row r="1614">
          <cell r="B1614" t="str">
            <v>EXP_RancoTDDQ22026_101</v>
          </cell>
          <cell r="C1614" t="str">
            <v>0136140_LM_Colegio_Ricardo_Pal</v>
          </cell>
          <cell r="D1614" t="str">
            <v>M0854</v>
          </cell>
          <cell r="E1614" t="str">
            <v>RANCO TDD 2026</v>
          </cell>
          <cell r="F1614" t="str">
            <v>Expansiones</v>
          </cell>
          <cell r="G1614">
            <v>2026</v>
          </cell>
          <cell r="H1614" t="str">
            <v>Q2</v>
          </cell>
          <cell r="I1614" t="str">
            <v>Jason olivos</v>
          </cell>
          <cell r="J1614" t="str">
            <v>NO RFI</v>
          </cell>
          <cell r="K1614">
            <v>46069</v>
          </cell>
        </row>
        <row r="1615">
          <cell r="B1615" t="str">
            <v>EXP_RancoTDDQ22026_102</v>
          </cell>
          <cell r="C1615" t="str">
            <v>0130546_LM_Huertos_De_Manchay</v>
          </cell>
          <cell r="D1615" t="str">
            <v>M0854</v>
          </cell>
          <cell r="E1615" t="str">
            <v>RANCO TDD 2026</v>
          </cell>
          <cell r="F1615" t="str">
            <v>Expansiones</v>
          </cell>
          <cell r="G1615">
            <v>2026</v>
          </cell>
          <cell r="H1615" t="str">
            <v>Q2</v>
          </cell>
          <cell r="I1615" t="str">
            <v>Jason olivos</v>
          </cell>
          <cell r="J1615" t="str">
            <v>NO RFI</v>
          </cell>
          <cell r="K1615">
            <v>46069</v>
          </cell>
        </row>
        <row r="1616">
          <cell r="B1616" t="str">
            <v>EXP_RancoTDDQ22026_103</v>
          </cell>
          <cell r="C1616" t="str">
            <v>0130331_LM_Vesalio</v>
          </cell>
          <cell r="D1616" t="str">
            <v>M0854</v>
          </cell>
          <cell r="E1616" t="str">
            <v>RANCO TDD 2026</v>
          </cell>
          <cell r="F1616" t="str">
            <v>Expansiones</v>
          </cell>
          <cell r="G1616">
            <v>2026</v>
          </cell>
          <cell r="H1616" t="str">
            <v>Q2</v>
          </cell>
          <cell r="I1616" t="str">
            <v>Jason olivos</v>
          </cell>
          <cell r="J1616" t="str">
            <v>NO RFI</v>
          </cell>
          <cell r="K1616">
            <v>46069</v>
          </cell>
        </row>
        <row r="1617">
          <cell r="B1617" t="str">
            <v>EXP_RancoTDDQ22026_104</v>
          </cell>
          <cell r="C1617" t="str">
            <v>0136008_LM_Joaquinmadrid</v>
          </cell>
          <cell r="D1617" t="str">
            <v>M0854</v>
          </cell>
          <cell r="E1617" t="str">
            <v>RANCO TDD 2026</v>
          </cell>
          <cell r="F1617" t="str">
            <v>Expansiones</v>
          </cell>
          <cell r="G1617">
            <v>2026</v>
          </cell>
          <cell r="H1617" t="str">
            <v>Q2</v>
          </cell>
          <cell r="I1617" t="str">
            <v>Jason olivos</v>
          </cell>
          <cell r="J1617" t="str">
            <v>NO RFI</v>
          </cell>
          <cell r="K1617">
            <v>46069</v>
          </cell>
        </row>
        <row r="1618">
          <cell r="B1618" t="str">
            <v>EXP_RancoTDDQ22026_105</v>
          </cell>
          <cell r="C1618" t="str">
            <v>0136019_LM_Chacarilla_Estanque</v>
          </cell>
          <cell r="D1618" t="str">
            <v>M0854</v>
          </cell>
          <cell r="E1618" t="str">
            <v>RANCO TDD 2026</v>
          </cell>
          <cell r="F1618" t="str">
            <v>Expansiones</v>
          </cell>
          <cell r="G1618">
            <v>2026</v>
          </cell>
          <cell r="H1618" t="str">
            <v>Q2</v>
          </cell>
          <cell r="I1618" t="str">
            <v>Jason olivos</v>
          </cell>
          <cell r="J1618" t="str">
            <v>NO RFI</v>
          </cell>
          <cell r="K1618">
            <v>46069</v>
          </cell>
        </row>
        <row r="1619">
          <cell r="B1619" t="str">
            <v>EXP_RancoTDDQ22026_106</v>
          </cell>
          <cell r="C1619" t="str">
            <v>0130077_LM_Ugarte_y_Moscoso</v>
          </cell>
          <cell r="D1619" t="str">
            <v>M0854</v>
          </cell>
          <cell r="E1619" t="str">
            <v>RANCO TDD 2026</v>
          </cell>
          <cell r="F1619" t="str">
            <v>Expansiones</v>
          </cell>
          <cell r="G1619">
            <v>2026</v>
          </cell>
          <cell r="H1619" t="str">
            <v>Q2</v>
          </cell>
          <cell r="I1619" t="str">
            <v>Jason olivos</v>
          </cell>
          <cell r="J1619" t="str">
            <v>NO RFI</v>
          </cell>
          <cell r="K1619">
            <v>46069</v>
          </cell>
        </row>
        <row r="1620">
          <cell r="B1620" t="str">
            <v>EXP_RancoTDDQ22026_107</v>
          </cell>
          <cell r="C1620" t="str">
            <v>0131975_LM_Manchay_Naranjos</v>
          </cell>
          <cell r="D1620" t="str">
            <v>M0854</v>
          </cell>
          <cell r="E1620" t="str">
            <v>RANCO TDD 2026</v>
          </cell>
          <cell r="F1620" t="str">
            <v>Expansiones</v>
          </cell>
          <cell r="G1620">
            <v>2026</v>
          </cell>
          <cell r="H1620" t="str">
            <v>Q2</v>
          </cell>
          <cell r="I1620" t="str">
            <v>Jason olivos</v>
          </cell>
          <cell r="J1620" t="str">
            <v>NO RFI</v>
          </cell>
          <cell r="K1620">
            <v>46069</v>
          </cell>
        </row>
        <row r="1621">
          <cell r="B1621" t="str">
            <v>EXP_RancoTDDQ22026_108</v>
          </cell>
          <cell r="C1621" t="str">
            <v>013252534_LM_Picaflores</v>
          </cell>
          <cell r="D1621" t="str">
            <v>M0854</v>
          </cell>
          <cell r="E1621" t="str">
            <v>RANCO TDD 2026</v>
          </cell>
          <cell r="F1621" t="str">
            <v>Expansiones</v>
          </cell>
          <cell r="G1621">
            <v>2026</v>
          </cell>
          <cell r="H1621" t="str">
            <v>Q2</v>
          </cell>
          <cell r="I1621" t="str">
            <v>Jason olivos</v>
          </cell>
          <cell r="J1621" t="str">
            <v>NO RFI</v>
          </cell>
          <cell r="K1621">
            <v>46069</v>
          </cell>
        </row>
        <row r="1622">
          <cell r="B1622" t="str">
            <v>EXP_RancoTDDQ22026_109</v>
          </cell>
          <cell r="C1622" t="str">
            <v>0134796_LM_Las_Lomas_Manchay</v>
          </cell>
          <cell r="D1622" t="str">
            <v>M0854</v>
          </cell>
          <cell r="E1622" t="str">
            <v>RANCO TDD 2026</v>
          </cell>
          <cell r="F1622" t="str">
            <v>Expansiones</v>
          </cell>
          <cell r="G1622">
            <v>2026</v>
          </cell>
          <cell r="H1622" t="str">
            <v>Q2</v>
          </cell>
          <cell r="I1622" t="str">
            <v>Jason olivos</v>
          </cell>
          <cell r="J1622" t="str">
            <v>NO RFI</v>
          </cell>
          <cell r="K1622">
            <v>46069</v>
          </cell>
        </row>
        <row r="1623">
          <cell r="B1623" t="str">
            <v>EXP_RancoTDDQ22026_110</v>
          </cell>
          <cell r="C1623" t="str">
            <v>0135120_LM_San_Jose_De_Cluny</v>
          </cell>
          <cell r="D1623" t="str">
            <v>M0854</v>
          </cell>
          <cell r="E1623" t="str">
            <v>RANCO TDD 2026</v>
          </cell>
          <cell r="F1623" t="str">
            <v>Expansiones</v>
          </cell>
          <cell r="G1623">
            <v>2026</v>
          </cell>
          <cell r="H1623" t="str">
            <v>Q2</v>
          </cell>
          <cell r="I1623" t="str">
            <v>Jason olivos</v>
          </cell>
          <cell r="J1623" t="str">
            <v>NO RFI</v>
          </cell>
          <cell r="K1623">
            <v>46069</v>
          </cell>
        </row>
        <row r="1624">
          <cell r="B1624" t="str">
            <v>EXP_RancoTDDQ22026_111</v>
          </cell>
          <cell r="C1624" t="str">
            <v>0135559_LM_Energia_Y_Minas_R1</v>
          </cell>
          <cell r="D1624" t="str">
            <v>M0854</v>
          </cell>
          <cell r="E1624" t="str">
            <v>RANCO TDD 2026</v>
          </cell>
          <cell r="F1624" t="str">
            <v>Expansiones</v>
          </cell>
          <cell r="G1624">
            <v>2026</v>
          </cell>
          <cell r="H1624" t="str">
            <v>Q2</v>
          </cell>
          <cell r="I1624" t="str">
            <v>Jason olivos</v>
          </cell>
          <cell r="J1624" t="str">
            <v>NO RFI</v>
          </cell>
          <cell r="K1624">
            <v>46069</v>
          </cell>
        </row>
        <row r="1625">
          <cell r="B1625" t="str">
            <v>EXP_RancoTDDQ22026_112</v>
          </cell>
          <cell r="C1625" t="str">
            <v>0134634_LM_Hipodromo_S1</v>
          </cell>
          <cell r="D1625" t="str">
            <v>M0854</v>
          </cell>
          <cell r="E1625" t="str">
            <v>RANCO TDD 2026</v>
          </cell>
          <cell r="F1625" t="str">
            <v>Expansiones</v>
          </cell>
          <cell r="G1625">
            <v>2026</v>
          </cell>
          <cell r="H1625" t="str">
            <v>Q2</v>
          </cell>
          <cell r="I1625" t="str">
            <v>Jason olivos</v>
          </cell>
          <cell r="J1625" t="str">
            <v>NO RFI</v>
          </cell>
          <cell r="K1625">
            <v>46069</v>
          </cell>
        </row>
        <row r="1626">
          <cell r="B1626" t="str">
            <v>EXP_RancoTDDQ22026_113</v>
          </cell>
          <cell r="C1626" t="str">
            <v>0130084_LM_Hipodromo</v>
          </cell>
          <cell r="D1626" t="str">
            <v>M0854</v>
          </cell>
          <cell r="E1626" t="str">
            <v>RANCO TDD 2026</v>
          </cell>
          <cell r="F1626" t="str">
            <v>Expansiones</v>
          </cell>
          <cell r="G1626">
            <v>2026</v>
          </cell>
          <cell r="H1626" t="str">
            <v>Q2</v>
          </cell>
          <cell r="I1626" t="str">
            <v>Jason olivos</v>
          </cell>
          <cell r="J1626" t="str">
            <v>NO RFI</v>
          </cell>
          <cell r="K1626">
            <v>46069</v>
          </cell>
        </row>
        <row r="1627">
          <cell r="B1627" t="str">
            <v>EXP_RancoTDDQ22026_114</v>
          </cell>
          <cell r="C1627" t="str">
            <v>0130412_LM_Melia</v>
          </cell>
          <cell r="D1627" t="str">
            <v>M0854</v>
          </cell>
          <cell r="E1627" t="str">
            <v>RANCO TDD 2026</v>
          </cell>
          <cell r="F1627" t="str">
            <v>Expansiones</v>
          </cell>
          <cell r="G1627">
            <v>2026</v>
          </cell>
          <cell r="H1627" t="str">
            <v>Q2</v>
          </cell>
          <cell r="I1627" t="str">
            <v>Jason olivos</v>
          </cell>
          <cell r="J1627" t="str">
            <v>NO RFI</v>
          </cell>
          <cell r="K1627">
            <v>46069</v>
          </cell>
        </row>
        <row r="1628">
          <cell r="B1628" t="str">
            <v>EXP_RancoTDDQ22026_115</v>
          </cell>
          <cell r="C1628" t="str">
            <v>0136040_LM_Castanitas</v>
          </cell>
          <cell r="D1628" t="str">
            <v>M0854</v>
          </cell>
          <cell r="E1628" t="str">
            <v>RANCO TDD 2026</v>
          </cell>
          <cell r="F1628" t="str">
            <v>Expansiones</v>
          </cell>
          <cell r="G1628">
            <v>2026</v>
          </cell>
          <cell r="H1628" t="str">
            <v>Q2</v>
          </cell>
          <cell r="I1628" t="str">
            <v>Jason olivos</v>
          </cell>
          <cell r="J1628" t="str">
            <v>NO RFI</v>
          </cell>
          <cell r="K1628">
            <v>46069</v>
          </cell>
        </row>
        <row r="1629">
          <cell r="B1629" t="str">
            <v>EXP_RancoTDDQ22026_116</v>
          </cell>
          <cell r="C1629" t="str">
            <v>0130041_LM_Dos_de_Mayo</v>
          </cell>
          <cell r="D1629" t="str">
            <v>M0854</v>
          </cell>
          <cell r="E1629" t="str">
            <v>RANCO TDD 2026</v>
          </cell>
          <cell r="F1629" t="str">
            <v>Expansiones</v>
          </cell>
          <cell r="G1629">
            <v>2026</v>
          </cell>
          <cell r="H1629" t="str">
            <v>Q2</v>
          </cell>
          <cell r="I1629" t="str">
            <v>Jason olivos</v>
          </cell>
          <cell r="J1629" t="str">
            <v>NO RFI</v>
          </cell>
          <cell r="K1629">
            <v>46069</v>
          </cell>
        </row>
        <row r="1630">
          <cell r="B1630" t="str">
            <v>EXP_RancoTDDQ22026_117</v>
          </cell>
          <cell r="C1630" t="str">
            <v>0132914_LM_PS_Salesiano_Rosental</v>
          </cell>
          <cell r="D1630" t="str">
            <v>M0854</v>
          </cell>
          <cell r="E1630" t="str">
            <v>RANCO TDD 2026</v>
          </cell>
          <cell r="F1630" t="str">
            <v>Expansiones</v>
          </cell>
          <cell r="G1630">
            <v>2026</v>
          </cell>
          <cell r="H1630" t="str">
            <v>Q2</v>
          </cell>
          <cell r="I1630" t="str">
            <v>Jason olivos</v>
          </cell>
          <cell r="J1630" t="str">
            <v>NO RFI</v>
          </cell>
          <cell r="K1630">
            <v>46069</v>
          </cell>
        </row>
        <row r="1631">
          <cell r="B1631" t="str">
            <v>EXP_RancoTDDQ22026_118</v>
          </cell>
          <cell r="C1631" t="str">
            <v>0135830_LM_Cabana_Infantil</v>
          </cell>
          <cell r="D1631" t="str">
            <v>M0854</v>
          </cell>
          <cell r="E1631" t="str">
            <v>RANCO TDD 2026</v>
          </cell>
          <cell r="F1631" t="str">
            <v>Expansiones</v>
          </cell>
          <cell r="G1631">
            <v>2026</v>
          </cell>
          <cell r="H1631" t="str">
            <v>Q2</v>
          </cell>
          <cell r="I1631" t="str">
            <v>Jason olivos</v>
          </cell>
          <cell r="J1631" t="str">
            <v>NO RFI</v>
          </cell>
          <cell r="K1631">
            <v>46069</v>
          </cell>
        </row>
        <row r="1632">
          <cell r="B1632" t="str">
            <v>EXP_RancoTDDQ22026_119</v>
          </cell>
          <cell r="C1632" t="str">
            <v>0130090_LM_Bertoloto</v>
          </cell>
          <cell r="D1632" t="str">
            <v>M0854</v>
          </cell>
          <cell r="E1632" t="str">
            <v>RANCO TDD 2026</v>
          </cell>
          <cell r="F1632" t="str">
            <v>Expansiones</v>
          </cell>
          <cell r="G1632">
            <v>2026</v>
          </cell>
          <cell r="H1632" t="str">
            <v>Q2</v>
          </cell>
          <cell r="I1632" t="str">
            <v>Jason olivos</v>
          </cell>
          <cell r="J1632" t="str">
            <v>NO RFI</v>
          </cell>
          <cell r="K1632">
            <v>46069</v>
          </cell>
        </row>
        <row r="1633">
          <cell r="B1633" t="str">
            <v>EXP_RancoTDDQ22026_120</v>
          </cell>
          <cell r="C1633" t="str">
            <v>0135792_LM_Calle_Revilla</v>
          </cell>
          <cell r="D1633" t="str">
            <v>M0854</v>
          </cell>
          <cell r="E1633" t="str">
            <v>RANCO TDD 2026</v>
          </cell>
          <cell r="F1633" t="str">
            <v>Expansiones</v>
          </cell>
          <cell r="G1633">
            <v>2026</v>
          </cell>
          <cell r="H1633" t="str">
            <v>Q2</v>
          </cell>
          <cell r="I1633" t="str">
            <v>Jason olivos</v>
          </cell>
          <cell r="J1633" t="str">
            <v>NO RFI</v>
          </cell>
          <cell r="K1633">
            <v>46069</v>
          </cell>
        </row>
        <row r="1634">
          <cell r="B1634" t="str">
            <v>EXP_RancoTDDQ22026_121</v>
          </cell>
          <cell r="C1634" t="str">
            <v>0135791_LM_Casanova</v>
          </cell>
          <cell r="D1634" t="str">
            <v>M0854</v>
          </cell>
          <cell r="E1634" t="str">
            <v>RANCO TDD 2026</v>
          </cell>
          <cell r="F1634" t="str">
            <v>Expansiones</v>
          </cell>
          <cell r="G1634">
            <v>2026</v>
          </cell>
          <cell r="H1634" t="str">
            <v>Q2</v>
          </cell>
          <cell r="I1634" t="str">
            <v>Jason olivos</v>
          </cell>
          <cell r="J1634" t="str">
            <v>NO RFI</v>
          </cell>
          <cell r="K1634">
            <v>46069</v>
          </cell>
        </row>
        <row r="1635">
          <cell r="B1635" t="str">
            <v>EXP_RancoTDDQ22026_122</v>
          </cell>
          <cell r="C1635" t="str">
            <v>0130411_LM_Jose_Leal</v>
          </cell>
          <cell r="D1635" t="str">
            <v>M0854</v>
          </cell>
          <cell r="E1635" t="str">
            <v>RANCO TDD 2026</v>
          </cell>
          <cell r="F1635" t="str">
            <v>Expansiones</v>
          </cell>
          <cell r="G1635">
            <v>2026</v>
          </cell>
          <cell r="H1635" t="str">
            <v>Q2</v>
          </cell>
          <cell r="I1635" t="str">
            <v>Jason olivos</v>
          </cell>
          <cell r="J1635" t="str">
            <v>NO RFI</v>
          </cell>
          <cell r="K1635">
            <v>46069</v>
          </cell>
        </row>
        <row r="1636">
          <cell r="B1636" t="str">
            <v>EXP_RancoTDDQ22026_123</v>
          </cell>
          <cell r="C1636" t="str">
            <v>0130242_LM_Campo_Fe</v>
          </cell>
          <cell r="D1636" t="str">
            <v>M0854</v>
          </cell>
          <cell r="E1636" t="str">
            <v>RANCO TDD 2026</v>
          </cell>
          <cell r="F1636" t="str">
            <v>Expansiones</v>
          </cell>
          <cell r="G1636">
            <v>2026</v>
          </cell>
          <cell r="H1636" t="str">
            <v>Q2</v>
          </cell>
          <cell r="I1636" t="str">
            <v>Jason olivos</v>
          </cell>
          <cell r="J1636" t="str">
            <v>NO RFI</v>
          </cell>
          <cell r="K1636">
            <v>46069</v>
          </cell>
        </row>
        <row r="1637">
          <cell r="B1637" t="str">
            <v>EXP_RancoTDDQ22026_124</v>
          </cell>
          <cell r="C1637" t="str">
            <v>0135795_LM_Municipalidad_Lince</v>
          </cell>
          <cell r="D1637" t="str">
            <v>M0854</v>
          </cell>
          <cell r="E1637" t="str">
            <v>RANCO TDD 2026</v>
          </cell>
          <cell r="F1637" t="str">
            <v>Expansiones</v>
          </cell>
          <cell r="G1637">
            <v>2026</v>
          </cell>
          <cell r="H1637" t="str">
            <v>Q2</v>
          </cell>
          <cell r="I1637" t="str">
            <v>Jason olivos</v>
          </cell>
          <cell r="J1637" t="str">
            <v>NO RFI</v>
          </cell>
          <cell r="K1637">
            <v>46069</v>
          </cell>
        </row>
        <row r="1638">
          <cell r="B1638" t="str">
            <v>EXP_RancoTDDQ22026_125</v>
          </cell>
          <cell r="C1638" t="str">
            <v>0136014_LM_Trebol_Javier_Prado</v>
          </cell>
          <cell r="D1638" t="str">
            <v>M0854</v>
          </cell>
          <cell r="E1638" t="str">
            <v>RANCO TDD 2026</v>
          </cell>
          <cell r="F1638" t="str">
            <v>Expansiones</v>
          </cell>
          <cell r="G1638">
            <v>2026</v>
          </cell>
          <cell r="H1638" t="str">
            <v>Q2</v>
          </cell>
          <cell r="I1638" t="str">
            <v>Jason olivos</v>
          </cell>
          <cell r="J1638" t="str">
            <v>NO RFI</v>
          </cell>
          <cell r="K1638">
            <v>46069</v>
          </cell>
        </row>
        <row r="1639">
          <cell r="B1639" t="str">
            <v>EXP_RancoTDDQ22026_126</v>
          </cell>
          <cell r="C1639" t="str">
            <v>013252428_LM_Bartolome_Herrera_R1</v>
          </cell>
          <cell r="D1639" t="str">
            <v>M0854</v>
          </cell>
          <cell r="E1639" t="str">
            <v>RANCO TDD 2026</v>
          </cell>
          <cell r="F1639" t="str">
            <v>Expansiones</v>
          </cell>
          <cell r="G1639">
            <v>2026</v>
          </cell>
          <cell r="H1639" t="str">
            <v>Q2</v>
          </cell>
          <cell r="I1639" t="str">
            <v>Jason olivos</v>
          </cell>
          <cell r="J1639" t="str">
            <v>NO RFI</v>
          </cell>
          <cell r="K1639">
            <v>46069</v>
          </cell>
        </row>
        <row r="1640">
          <cell r="B1640" t="str">
            <v>EXP_RancoTDDQ22026_127</v>
          </cell>
          <cell r="C1640" t="str">
            <v>0130088_LM_Santa_Catalina</v>
          </cell>
          <cell r="D1640" t="str">
            <v>M0854</v>
          </cell>
          <cell r="E1640" t="str">
            <v>RANCO TDD 2026</v>
          </cell>
          <cell r="F1640" t="str">
            <v>Expansiones</v>
          </cell>
          <cell r="G1640">
            <v>2026</v>
          </cell>
          <cell r="H1640" t="str">
            <v>Q2</v>
          </cell>
          <cell r="I1640" t="str">
            <v>Jason olivos</v>
          </cell>
          <cell r="J1640" t="str">
            <v>NO RFI</v>
          </cell>
          <cell r="K1640">
            <v>46069</v>
          </cell>
        </row>
        <row r="1641">
          <cell r="B1641" t="str">
            <v>EXP_RancoTDDQ22026_128</v>
          </cell>
          <cell r="C1641" t="str">
            <v>0135860_LM_Cantabrico</v>
          </cell>
          <cell r="D1641" t="str">
            <v>M0854</v>
          </cell>
          <cell r="E1641" t="str">
            <v>RANCO TDD 2026</v>
          </cell>
          <cell r="F1641" t="str">
            <v>Expansiones</v>
          </cell>
          <cell r="G1641">
            <v>2026</v>
          </cell>
          <cell r="H1641" t="str">
            <v>Q2</v>
          </cell>
          <cell r="I1641" t="str">
            <v>Jason olivos</v>
          </cell>
          <cell r="J1641" t="str">
            <v>NO RFI</v>
          </cell>
          <cell r="K1641">
            <v>46069</v>
          </cell>
        </row>
        <row r="1642">
          <cell r="B1642" t="str">
            <v>EXP_RancoTDDQ22026_129</v>
          </cell>
          <cell r="C1642" t="str">
            <v>0135960_LM_Furukawa</v>
          </cell>
          <cell r="D1642" t="str">
            <v>M0854</v>
          </cell>
          <cell r="E1642" t="str">
            <v>RANCO TDD 2026</v>
          </cell>
          <cell r="F1642" t="str">
            <v>Expansiones</v>
          </cell>
          <cell r="G1642">
            <v>2026</v>
          </cell>
          <cell r="H1642" t="str">
            <v>Q2</v>
          </cell>
          <cell r="I1642" t="str">
            <v>Jason olivos</v>
          </cell>
          <cell r="J1642" t="str">
            <v>NO RFI</v>
          </cell>
          <cell r="K1642">
            <v>46069</v>
          </cell>
        </row>
        <row r="1643">
          <cell r="B1643" t="str">
            <v>EXP_RancoTDDQ22026_130</v>
          </cell>
          <cell r="C1643" t="str">
            <v>0136098_LM_Gallagher</v>
          </cell>
          <cell r="D1643" t="str">
            <v>M0854</v>
          </cell>
          <cell r="E1643" t="str">
            <v>RANCO TDD 2026</v>
          </cell>
          <cell r="F1643" t="str">
            <v>Expansiones</v>
          </cell>
          <cell r="G1643">
            <v>2026</v>
          </cell>
          <cell r="H1643" t="str">
            <v>Q2</v>
          </cell>
          <cell r="I1643" t="str">
            <v>Jason olivos</v>
          </cell>
          <cell r="J1643" t="str">
            <v>NO RFI</v>
          </cell>
          <cell r="K1643">
            <v>46069</v>
          </cell>
        </row>
        <row r="1644">
          <cell r="B1644" t="str">
            <v>EXP_RancoTDDQ22026_131</v>
          </cell>
          <cell r="C1644" t="str">
            <v>0135969_LM_Monte_Carmelo</v>
          </cell>
          <cell r="D1644" t="str">
            <v>M0854</v>
          </cell>
          <cell r="E1644" t="str">
            <v>RANCO TDD 2026</v>
          </cell>
          <cell r="F1644" t="str">
            <v>Expansiones</v>
          </cell>
          <cell r="G1644">
            <v>2026</v>
          </cell>
          <cell r="H1644" t="str">
            <v>Q2</v>
          </cell>
          <cell r="I1644" t="str">
            <v>Jason olivos</v>
          </cell>
          <cell r="J1644" t="str">
            <v>NO RFI</v>
          </cell>
          <cell r="K1644">
            <v>46069</v>
          </cell>
        </row>
        <row r="1645">
          <cell r="B1645" t="str">
            <v>EXP_RancoTDDQ22026_132</v>
          </cell>
          <cell r="C1645" t="str">
            <v>0132923_LM_PS_Multident</v>
          </cell>
          <cell r="D1645" t="str">
            <v>M0854</v>
          </cell>
          <cell r="E1645" t="str">
            <v>RANCO TDD 2026</v>
          </cell>
          <cell r="F1645" t="str">
            <v>Expansiones</v>
          </cell>
          <cell r="G1645">
            <v>2026</v>
          </cell>
          <cell r="H1645" t="str">
            <v>Q2</v>
          </cell>
          <cell r="I1645" t="str">
            <v>Jason olivos</v>
          </cell>
          <cell r="J1645" t="str">
            <v>NO RFI</v>
          </cell>
          <cell r="K1645">
            <v>46069</v>
          </cell>
        </row>
        <row r="1646">
          <cell r="B1646" t="str">
            <v>EXP_RancoTDDQ22026_133</v>
          </cell>
          <cell r="C1646" t="str">
            <v>0132669_LM_Rosa_Toro_R1</v>
          </cell>
          <cell r="D1646" t="str">
            <v>M0854</v>
          </cell>
          <cell r="E1646" t="str">
            <v>RANCO TDD 2026</v>
          </cell>
          <cell r="F1646" t="str">
            <v>Expansiones</v>
          </cell>
          <cell r="G1646">
            <v>2026</v>
          </cell>
          <cell r="H1646" t="str">
            <v>Q2</v>
          </cell>
          <cell r="I1646" t="str">
            <v>Jason olivos</v>
          </cell>
          <cell r="J1646" t="str">
            <v>NO RFI</v>
          </cell>
          <cell r="K1646">
            <v>46069</v>
          </cell>
        </row>
        <row r="1647">
          <cell r="B1647" t="str">
            <v>EXP_RancoTDDQ22026_134</v>
          </cell>
          <cell r="C1647" t="str">
            <v>0130261_LM_Mexico</v>
          </cell>
          <cell r="D1647" t="str">
            <v>M0854</v>
          </cell>
          <cell r="E1647" t="str">
            <v>RANCO TDD 2026</v>
          </cell>
          <cell r="F1647" t="str">
            <v>Expansiones</v>
          </cell>
          <cell r="G1647">
            <v>2026</v>
          </cell>
          <cell r="H1647" t="str">
            <v>Q2</v>
          </cell>
          <cell r="I1647" t="str">
            <v>Jason olivos</v>
          </cell>
          <cell r="J1647" t="str">
            <v>NO RFI</v>
          </cell>
          <cell r="K1647">
            <v>46069</v>
          </cell>
        </row>
        <row r="1648">
          <cell r="B1648" t="str">
            <v>EXP_RancoTDDQ22026_135</v>
          </cell>
          <cell r="C1648" t="str">
            <v>0135085_LM_PS_Estacion_Arriola</v>
          </cell>
          <cell r="D1648" t="str">
            <v>M0854</v>
          </cell>
          <cell r="E1648" t="str">
            <v>RANCO TDD 2026</v>
          </cell>
          <cell r="F1648" t="str">
            <v>Expansiones</v>
          </cell>
          <cell r="G1648">
            <v>2026</v>
          </cell>
          <cell r="H1648" t="str">
            <v>Q2</v>
          </cell>
          <cell r="I1648" t="str">
            <v>Jason olivos</v>
          </cell>
          <cell r="J1648" t="str">
            <v>NO RFI</v>
          </cell>
          <cell r="K1648">
            <v>46069</v>
          </cell>
        </row>
        <row r="1649">
          <cell r="B1649" t="str">
            <v>EXP_RancoTDDQ22026_136</v>
          </cell>
          <cell r="C1649" t="str">
            <v>0130036_LM_Rio_Nazca</v>
          </cell>
          <cell r="D1649" t="str">
            <v>M0854</v>
          </cell>
          <cell r="E1649" t="str">
            <v>RANCO TDD 2026</v>
          </cell>
          <cell r="F1649" t="str">
            <v>Expansiones</v>
          </cell>
          <cell r="G1649">
            <v>2026</v>
          </cell>
          <cell r="H1649" t="str">
            <v>Q2</v>
          </cell>
          <cell r="I1649" t="str">
            <v>Jason olivos</v>
          </cell>
          <cell r="J1649" t="str">
            <v>NO RFI</v>
          </cell>
          <cell r="K1649">
            <v>46069</v>
          </cell>
        </row>
        <row r="1650">
          <cell r="B1650" t="str">
            <v>EXP_RancoTDDQ22026_137</v>
          </cell>
          <cell r="C1650" t="str">
            <v>0136306_LM_Ministerio_De_Salud</v>
          </cell>
          <cell r="D1650" t="str">
            <v>M0854</v>
          </cell>
          <cell r="E1650" t="str">
            <v>RANCO TDD 2026</v>
          </cell>
          <cell r="F1650" t="str">
            <v>Expansiones</v>
          </cell>
          <cell r="G1650">
            <v>2026</v>
          </cell>
          <cell r="H1650" t="str">
            <v>Q2</v>
          </cell>
          <cell r="I1650" t="str">
            <v>Jason olivos</v>
          </cell>
          <cell r="J1650" t="str">
            <v>NO RFI</v>
          </cell>
          <cell r="K1650">
            <v>46069</v>
          </cell>
        </row>
        <row r="1651">
          <cell r="B1651" t="str">
            <v>EXP_RancoTDDQ22026_138</v>
          </cell>
          <cell r="C1651" t="str">
            <v>0130537_LM_Cipriano_Dulando</v>
          </cell>
          <cell r="D1651" t="str">
            <v>M0854</v>
          </cell>
          <cell r="E1651" t="str">
            <v>RANCO TDD 2026</v>
          </cell>
          <cell r="F1651" t="str">
            <v>Expansiones</v>
          </cell>
          <cell r="G1651">
            <v>2026</v>
          </cell>
          <cell r="H1651" t="str">
            <v>Q2</v>
          </cell>
          <cell r="I1651" t="str">
            <v>Jason olivos</v>
          </cell>
          <cell r="J1651" t="str">
            <v>NO RFI</v>
          </cell>
          <cell r="K1651">
            <v>46069</v>
          </cell>
        </row>
        <row r="1652">
          <cell r="B1652" t="str">
            <v>EXP_RancoTDDQ22026_139</v>
          </cell>
          <cell r="C1652" t="str">
            <v>013252712_LM_Santa_Beatriz_R1</v>
          </cell>
          <cell r="D1652" t="str">
            <v>M0854</v>
          </cell>
          <cell r="E1652" t="str">
            <v>RANCO TDD 2026</v>
          </cell>
          <cell r="F1652" t="str">
            <v>Expansiones</v>
          </cell>
          <cell r="G1652">
            <v>2026</v>
          </cell>
          <cell r="H1652" t="str">
            <v>Q2</v>
          </cell>
          <cell r="I1652" t="str">
            <v>Jason olivos</v>
          </cell>
          <cell r="J1652" t="str">
            <v>NO RFI</v>
          </cell>
          <cell r="K1652">
            <v>46069</v>
          </cell>
        </row>
        <row r="1653">
          <cell r="B1653" t="str">
            <v>EXP_RancoTDDQ22026_140</v>
          </cell>
          <cell r="C1653" t="str">
            <v>0135941_LM_Soyuz</v>
          </cell>
          <cell r="D1653" t="str">
            <v>M0854</v>
          </cell>
          <cell r="E1653" t="str">
            <v>RANCO TDD 2026</v>
          </cell>
          <cell r="F1653" t="str">
            <v>Expansiones</v>
          </cell>
          <cell r="G1653">
            <v>2026</v>
          </cell>
          <cell r="H1653" t="str">
            <v>Q2</v>
          </cell>
          <cell r="I1653" t="str">
            <v>Jason olivos</v>
          </cell>
          <cell r="J1653" t="str">
            <v>NO RFI</v>
          </cell>
          <cell r="K1653">
            <v>46069</v>
          </cell>
        </row>
        <row r="1654">
          <cell r="B1654" t="str">
            <v>EXP_RancoTDDQ22026_141</v>
          </cell>
          <cell r="C1654" t="str">
            <v>0135958_LM_Unidad_Vecinal_Matu</v>
          </cell>
          <cell r="D1654" t="str">
            <v>M0854</v>
          </cell>
          <cell r="E1654" t="str">
            <v>RANCO TDD 2026</v>
          </cell>
          <cell r="F1654" t="str">
            <v>Expansiones</v>
          </cell>
          <cell r="G1654">
            <v>2026</v>
          </cell>
          <cell r="H1654" t="str">
            <v>Q2</v>
          </cell>
          <cell r="I1654" t="str">
            <v>Jason olivos</v>
          </cell>
          <cell r="J1654" t="str">
            <v>NO RFI</v>
          </cell>
          <cell r="K1654">
            <v>46069</v>
          </cell>
        </row>
        <row r="1655">
          <cell r="B1655" t="str">
            <v>EXP_RancoTDDQ22026_142</v>
          </cell>
          <cell r="C1655" t="str">
            <v>0135979_LM_Parque_Manuel_Soane</v>
          </cell>
          <cell r="D1655" t="str">
            <v>M0854</v>
          </cell>
          <cell r="E1655" t="str">
            <v>RANCO TDD 2026</v>
          </cell>
          <cell r="F1655" t="str">
            <v>Expansiones</v>
          </cell>
          <cell r="G1655">
            <v>2026</v>
          </cell>
          <cell r="H1655" t="str">
            <v>Q2</v>
          </cell>
          <cell r="I1655" t="str">
            <v>Jason olivos</v>
          </cell>
          <cell r="J1655" t="str">
            <v>NO RFI</v>
          </cell>
          <cell r="K1655">
            <v>46069</v>
          </cell>
        </row>
        <row r="1656">
          <cell r="B1656" t="str">
            <v>EXP_RancoTDDQ22026_143</v>
          </cell>
          <cell r="C1656" t="str">
            <v>0130306_LM_La_Rotonda</v>
          </cell>
          <cell r="D1656" t="str">
            <v>M0854</v>
          </cell>
          <cell r="E1656" t="str">
            <v>RANCO TDD 2026</v>
          </cell>
          <cell r="F1656" t="str">
            <v>Expansiones</v>
          </cell>
          <cell r="G1656">
            <v>2026</v>
          </cell>
          <cell r="H1656" t="str">
            <v>Q2</v>
          </cell>
          <cell r="I1656" t="str">
            <v>Jason olivos</v>
          </cell>
          <cell r="J1656" t="str">
            <v>NO RFI</v>
          </cell>
          <cell r="K1656">
            <v>46069</v>
          </cell>
        </row>
        <row r="1657">
          <cell r="B1657" t="str">
            <v>EXP_RancoTDDQ22026_144</v>
          </cell>
          <cell r="C1657" t="str">
            <v>0130324_LM_IBM</v>
          </cell>
          <cell r="D1657" t="str">
            <v>M0854</v>
          </cell>
          <cell r="E1657" t="str">
            <v>RANCO TDD 2026</v>
          </cell>
          <cell r="F1657" t="str">
            <v>Expansiones</v>
          </cell>
          <cell r="G1657">
            <v>2026</v>
          </cell>
          <cell r="H1657" t="str">
            <v>Q2</v>
          </cell>
          <cell r="I1657" t="str">
            <v>Jason olivos</v>
          </cell>
          <cell r="J1657" t="str">
            <v>NO RFI</v>
          </cell>
          <cell r="K1657">
            <v>46069</v>
          </cell>
        </row>
        <row r="1658">
          <cell r="B1658" t="str">
            <v>EXP_RancoTDDQ22026_145</v>
          </cell>
          <cell r="C1658" t="str">
            <v>0130251_LM_Parque_de_las_Leye</v>
          </cell>
          <cell r="D1658" t="str">
            <v>M0854</v>
          </cell>
          <cell r="E1658" t="str">
            <v>RANCO TDD 2026</v>
          </cell>
          <cell r="F1658" t="str">
            <v>Expansiones</v>
          </cell>
          <cell r="G1658">
            <v>2026</v>
          </cell>
          <cell r="H1658" t="str">
            <v>Q2</v>
          </cell>
          <cell r="I1658" t="str">
            <v>Jason olivos</v>
          </cell>
          <cell r="J1658" t="str">
            <v>NO RFI</v>
          </cell>
          <cell r="K1658">
            <v>46069</v>
          </cell>
        </row>
        <row r="1659">
          <cell r="B1659" t="str">
            <v>EXP_RancoTDDQ22026_146</v>
          </cell>
          <cell r="C1659" t="str">
            <v>0132025_LM_Santa_Emma</v>
          </cell>
          <cell r="D1659" t="str">
            <v>M0854</v>
          </cell>
          <cell r="E1659" t="str">
            <v>RANCO TDD 2026</v>
          </cell>
          <cell r="F1659" t="str">
            <v>Expansiones</v>
          </cell>
          <cell r="G1659">
            <v>2026</v>
          </cell>
          <cell r="H1659" t="str">
            <v>Q2</v>
          </cell>
          <cell r="I1659" t="str">
            <v>Jason olivos</v>
          </cell>
          <cell r="J1659" t="str">
            <v>NO RFI</v>
          </cell>
          <cell r="K1659">
            <v>46069</v>
          </cell>
        </row>
        <row r="1660">
          <cell r="B1660" t="str">
            <v>EXP_RancoTDDQ22026_147</v>
          </cell>
          <cell r="C1660" t="str">
            <v>0131109_LM_Isabel_Catolica_S1</v>
          </cell>
          <cell r="D1660" t="str">
            <v>M0854</v>
          </cell>
          <cell r="E1660" t="str">
            <v>RANCO TDD 2026</v>
          </cell>
          <cell r="F1660" t="str">
            <v>Expansiones</v>
          </cell>
          <cell r="G1660">
            <v>2026</v>
          </cell>
          <cell r="H1660" t="str">
            <v>Q2</v>
          </cell>
          <cell r="I1660" t="str">
            <v>Jason olivos</v>
          </cell>
          <cell r="J1660" t="str">
            <v>NO RFI</v>
          </cell>
          <cell r="K1660">
            <v>46069</v>
          </cell>
        </row>
        <row r="1661">
          <cell r="B1661" t="str">
            <v>EXP_RancoTDDQ22026_148</v>
          </cell>
          <cell r="C1661" t="str">
            <v>0130269_LM_Isabel_La_Catolica</v>
          </cell>
          <cell r="D1661" t="str">
            <v>M0854</v>
          </cell>
          <cell r="E1661" t="str">
            <v>RANCO TDD 2026</v>
          </cell>
          <cell r="F1661" t="str">
            <v>Expansiones</v>
          </cell>
          <cell r="G1661">
            <v>2026</v>
          </cell>
          <cell r="H1661" t="str">
            <v>Q2</v>
          </cell>
          <cell r="I1661" t="str">
            <v>Jason olivos</v>
          </cell>
          <cell r="J1661" t="str">
            <v>NO RFI</v>
          </cell>
          <cell r="K1661">
            <v>46069</v>
          </cell>
        </row>
        <row r="1662">
          <cell r="B1662" t="str">
            <v>EXP_RancoTDDQ22026_149</v>
          </cell>
          <cell r="C1662" t="str">
            <v>0135645_LM_Grumete_Medina</v>
          </cell>
          <cell r="D1662" t="str">
            <v>M0854</v>
          </cell>
          <cell r="E1662" t="str">
            <v>RANCO TDD 2026</v>
          </cell>
          <cell r="F1662" t="str">
            <v>Expansiones</v>
          </cell>
          <cell r="G1662">
            <v>2026</v>
          </cell>
          <cell r="H1662" t="str">
            <v>Q2</v>
          </cell>
          <cell r="I1662" t="str">
            <v>Jason olivos</v>
          </cell>
          <cell r="J1662" t="str">
            <v>NO RFI</v>
          </cell>
          <cell r="K1662">
            <v>46069</v>
          </cell>
        </row>
        <row r="1663">
          <cell r="B1663" t="str">
            <v>EXP_RancoTDDQ22026_150</v>
          </cell>
          <cell r="C1663" t="str">
            <v>0130361_LM_Unanue</v>
          </cell>
          <cell r="D1663" t="str">
            <v>M0854</v>
          </cell>
          <cell r="E1663" t="str">
            <v>RANCO TDD 2026</v>
          </cell>
          <cell r="F1663" t="str">
            <v>Expansiones</v>
          </cell>
          <cell r="G1663">
            <v>2026</v>
          </cell>
          <cell r="H1663" t="str">
            <v>Q2</v>
          </cell>
          <cell r="I1663" t="str">
            <v>Jason olivos</v>
          </cell>
          <cell r="J1663" t="str">
            <v>NO RFI</v>
          </cell>
          <cell r="K1663">
            <v>46069</v>
          </cell>
        </row>
        <row r="1664">
          <cell r="B1664" t="str">
            <v>EXP_RancoTDDQ22026_151</v>
          </cell>
          <cell r="C1664" t="str">
            <v>013250635_LM_PS_Aviacion_Barranca</v>
          </cell>
          <cell r="D1664" t="str">
            <v>M0854</v>
          </cell>
          <cell r="E1664" t="str">
            <v>RANCO TDD 2026</v>
          </cell>
          <cell r="F1664" t="str">
            <v>Expansiones</v>
          </cell>
          <cell r="G1664">
            <v>2026</v>
          </cell>
          <cell r="H1664" t="str">
            <v>Q2</v>
          </cell>
          <cell r="I1664" t="str">
            <v>Jason olivos</v>
          </cell>
          <cell r="J1664" t="str">
            <v>NO RFI</v>
          </cell>
          <cell r="K1664">
            <v>46069</v>
          </cell>
        </row>
        <row r="1665">
          <cell r="B1665" t="str">
            <v>EXP_RancoTDDQ22026_152</v>
          </cell>
          <cell r="C1665" t="str">
            <v>0135949_LM_El_Mundialito</v>
          </cell>
          <cell r="D1665" t="str">
            <v>M0854</v>
          </cell>
          <cell r="E1665" t="str">
            <v>RANCO TDD 2026</v>
          </cell>
          <cell r="F1665" t="str">
            <v>Expansiones</v>
          </cell>
          <cell r="G1665">
            <v>2026</v>
          </cell>
          <cell r="H1665" t="str">
            <v>Q2</v>
          </cell>
          <cell r="I1665" t="str">
            <v>Jason olivos</v>
          </cell>
          <cell r="J1665" t="str">
            <v>NO RFI</v>
          </cell>
          <cell r="K1665">
            <v>46069</v>
          </cell>
        </row>
        <row r="1666">
          <cell r="B1666" t="str">
            <v>EXP_RancoTDDQ22026_153</v>
          </cell>
          <cell r="C1666" t="str">
            <v>0130127_LM_Manco_Capac</v>
          </cell>
          <cell r="D1666" t="str">
            <v>M0854</v>
          </cell>
          <cell r="E1666" t="str">
            <v>RANCO TDD 2026</v>
          </cell>
          <cell r="F1666" t="str">
            <v>Expansiones</v>
          </cell>
          <cell r="G1666">
            <v>2026</v>
          </cell>
          <cell r="H1666" t="str">
            <v>Q2</v>
          </cell>
          <cell r="I1666" t="str">
            <v>Jason olivos</v>
          </cell>
          <cell r="J1666" t="str">
            <v>NO RFI</v>
          </cell>
          <cell r="K1666">
            <v>46069</v>
          </cell>
        </row>
        <row r="1667">
          <cell r="B1667" t="str">
            <v>EXP_RancoTDDQ22026_154</v>
          </cell>
          <cell r="C1667" t="str">
            <v>0135595_LM_Mateo_Salado</v>
          </cell>
          <cell r="D1667" t="str">
            <v>M0854</v>
          </cell>
          <cell r="E1667" t="str">
            <v>RANCO TDD 2026</v>
          </cell>
          <cell r="F1667" t="str">
            <v>Expansiones</v>
          </cell>
          <cell r="G1667">
            <v>2026</v>
          </cell>
          <cell r="H1667" t="str">
            <v>Q2</v>
          </cell>
          <cell r="I1667" t="str">
            <v>Jason olivos</v>
          </cell>
          <cell r="J1667" t="str">
            <v>NO RFI</v>
          </cell>
          <cell r="K1667">
            <v>46069</v>
          </cell>
        </row>
        <row r="1668">
          <cell r="B1668" t="str">
            <v>EXP_RancoTDDQ22026_155</v>
          </cell>
          <cell r="C1668" t="str">
            <v>013252640_LM_HermanasFranciscanas</v>
          </cell>
          <cell r="D1668" t="str">
            <v>M0854</v>
          </cell>
          <cell r="E1668" t="str">
            <v>RANCO TDD 2026</v>
          </cell>
          <cell r="F1668" t="str">
            <v>Expansiones</v>
          </cell>
          <cell r="G1668">
            <v>2026</v>
          </cell>
          <cell r="H1668" t="str">
            <v>Q2</v>
          </cell>
          <cell r="I1668" t="str">
            <v>Jason olivos</v>
          </cell>
          <cell r="J1668" t="str">
            <v>NO RFI</v>
          </cell>
          <cell r="K1668">
            <v>46069</v>
          </cell>
        </row>
        <row r="1669">
          <cell r="B1669" t="str">
            <v>EXP_RancoTDDQ22026_156</v>
          </cell>
          <cell r="C1669" t="str">
            <v>0130455_LM_SanJuanDios</v>
          </cell>
          <cell r="D1669" t="str">
            <v>M0854</v>
          </cell>
          <cell r="E1669" t="str">
            <v>RANCO TDD 2026</v>
          </cell>
          <cell r="F1669" t="str">
            <v>Expansiones</v>
          </cell>
          <cell r="G1669">
            <v>2026</v>
          </cell>
          <cell r="H1669" t="str">
            <v>Q2</v>
          </cell>
          <cell r="I1669" t="str">
            <v>Jason olivos</v>
          </cell>
          <cell r="J1669" t="str">
            <v>NO RFI</v>
          </cell>
          <cell r="K1669">
            <v>46069</v>
          </cell>
        </row>
        <row r="1670">
          <cell r="B1670" t="str">
            <v>EXP_RancoTDDQ22026_157</v>
          </cell>
          <cell r="C1670" t="str">
            <v>0135981_LM_Parque_Canepa</v>
          </cell>
          <cell r="D1670" t="str">
            <v>M0854</v>
          </cell>
          <cell r="E1670" t="str">
            <v>RANCO TDD 2026</v>
          </cell>
          <cell r="F1670" t="str">
            <v>Expansiones</v>
          </cell>
          <cell r="G1670">
            <v>2026</v>
          </cell>
          <cell r="H1670" t="str">
            <v>Q2</v>
          </cell>
          <cell r="I1670" t="str">
            <v>Jason olivos</v>
          </cell>
          <cell r="J1670" t="str">
            <v>NO RFI</v>
          </cell>
          <cell r="K1670">
            <v>46069</v>
          </cell>
        </row>
        <row r="1671">
          <cell r="B1671" t="str">
            <v>EXP_RancoTDDQ22026_158</v>
          </cell>
          <cell r="C1671" t="str">
            <v>0130211_LM_Nicolas_Ayllon</v>
          </cell>
          <cell r="D1671" t="str">
            <v>M0854</v>
          </cell>
          <cell r="E1671" t="str">
            <v>RANCO TDD 2026</v>
          </cell>
          <cell r="F1671" t="str">
            <v>Expansiones</v>
          </cell>
          <cell r="G1671">
            <v>2026</v>
          </cell>
          <cell r="H1671" t="str">
            <v>Q2</v>
          </cell>
          <cell r="I1671" t="str">
            <v>Jason olivos</v>
          </cell>
          <cell r="J1671" t="str">
            <v>NO RFI</v>
          </cell>
          <cell r="K1671">
            <v>46069</v>
          </cell>
        </row>
        <row r="1672">
          <cell r="B1672" t="str">
            <v>EXP_RancoTDDQ22026_159</v>
          </cell>
          <cell r="C1672" t="str">
            <v>0130161_LM_Santa_Cecilia</v>
          </cell>
          <cell r="D1672" t="str">
            <v>M0854</v>
          </cell>
          <cell r="E1672" t="str">
            <v>RANCO TDD 2026</v>
          </cell>
          <cell r="F1672" t="str">
            <v>Expansiones</v>
          </cell>
          <cell r="G1672">
            <v>2026</v>
          </cell>
          <cell r="H1672" t="str">
            <v>Q2</v>
          </cell>
          <cell r="I1672" t="str">
            <v>Jason olivos</v>
          </cell>
          <cell r="J1672" t="str">
            <v>NO RFI</v>
          </cell>
          <cell r="K1672">
            <v>46069</v>
          </cell>
        </row>
        <row r="1673">
          <cell r="B1673" t="str">
            <v>EXP_RancoTDDQ22026_160</v>
          </cell>
          <cell r="C1673" t="str">
            <v>0130209_LM_San_Marcos</v>
          </cell>
          <cell r="D1673" t="str">
            <v>M0854</v>
          </cell>
          <cell r="E1673" t="str">
            <v>RANCO TDD 2026</v>
          </cell>
          <cell r="F1673" t="str">
            <v>Expansiones</v>
          </cell>
          <cell r="G1673">
            <v>2026</v>
          </cell>
          <cell r="H1673" t="str">
            <v>Q2</v>
          </cell>
          <cell r="I1673" t="str">
            <v>Jason olivos</v>
          </cell>
          <cell r="J1673" t="str">
            <v>NO RFI</v>
          </cell>
          <cell r="K1673">
            <v>46069</v>
          </cell>
        </row>
        <row r="1674">
          <cell r="B1674" t="str">
            <v>EXP_RancoTDDQ22026_161</v>
          </cell>
          <cell r="C1674" t="str">
            <v>0133948_LM_Parque_Migrante</v>
          </cell>
          <cell r="D1674" t="str">
            <v>M0854</v>
          </cell>
          <cell r="E1674" t="str">
            <v>RANCO TDD 2026</v>
          </cell>
          <cell r="F1674" t="str">
            <v>Expansiones</v>
          </cell>
          <cell r="G1674">
            <v>2026</v>
          </cell>
          <cell r="H1674" t="str">
            <v>Q2</v>
          </cell>
          <cell r="I1674" t="str">
            <v>Jason olivos</v>
          </cell>
          <cell r="J1674" t="str">
            <v>NO RFI</v>
          </cell>
          <cell r="K1674">
            <v>46069</v>
          </cell>
        </row>
        <row r="1675">
          <cell r="B1675" t="str">
            <v>EXP_RancoTDDQ22026_162</v>
          </cell>
          <cell r="C1675" t="str">
            <v>0136299_LM_Villa_Deportiva_Cal</v>
          </cell>
          <cell r="D1675" t="str">
            <v>M0854</v>
          </cell>
          <cell r="E1675" t="str">
            <v>RANCO TDD 2026</v>
          </cell>
          <cell r="F1675" t="str">
            <v>Expansiones</v>
          </cell>
          <cell r="G1675">
            <v>2026</v>
          </cell>
          <cell r="H1675" t="str">
            <v>Q2</v>
          </cell>
          <cell r="I1675" t="str">
            <v>Jason olivos</v>
          </cell>
          <cell r="J1675" t="str">
            <v>NO RFI</v>
          </cell>
          <cell r="K1675">
            <v>46069</v>
          </cell>
        </row>
        <row r="1676">
          <cell r="B1676" t="str">
            <v>EXP_RancoTDDQ22026_163</v>
          </cell>
          <cell r="C1676" t="str">
            <v>013221003_JU_Kusimayu_Shullcas</v>
          </cell>
          <cell r="D1676" t="str">
            <v>M0854</v>
          </cell>
          <cell r="E1676" t="str">
            <v>RANCO TDD 2026</v>
          </cell>
          <cell r="F1676" t="str">
            <v>Expansiones</v>
          </cell>
          <cell r="G1676">
            <v>2026</v>
          </cell>
          <cell r="H1676" t="str">
            <v>Q2</v>
          </cell>
          <cell r="I1676" t="str">
            <v>Jason olivos</v>
          </cell>
          <cell r="J1676" t="str">
            <v>NO RFI</v>
          </cell>
          <cell r="K1676">
            <v>46069</v>
          </cell>
        </row>
        <row r="1677">
          <cell r="B1677" t="str">
            <v>EXP_RancoTDDQ22026_164</v>
          </cell>
          <cell r="C1677" t="str">
            <v>0131898_LM_Industrial_UNMSM</v>
          </cell>
          <cell r="D1677" t="str">
            <v>M0854</v>
          </cell>
          <cell r="E1677" t="str">
            <v>RANCO TDD 2026</v>
          </cell>
          <cell r="F1677" t="str">
            <v>Expansiones</v>
          </cell>
          <cell r="G1677">
            <v>2026</v>
          </cell>
          <cell r="H1677" t="str">
            <v>Q2</v>
          </cell>
          <cell r="I1677" t="str">
            <v>Jason olivos</v>
          </cell>
          <cell r="J1677" t="str">
            <v>NO RFI</v>
          </cell>
          <cell r="K1677">
            <v>46069</v>
          </cell>
        </row>
        <row r="1678">
          <cell r="B1678" t="str">
            <v>EXP_RancoTDDQ22026_165</v>
          </cell>
          <cell r="C1678" t="str">
            <v>0135944_LM_Plaza_Carrion</v>
          </cell>
          <cell r="D1678" t="str">
            <v>M0854</v>
          </cell>
          <cell r="E1678" t="str">
            <v>RANCO TDD 2026</v>
          </cell>
          <cell r="F1678" t="str">
            <v>Expansiones</v>
          </cell>
          <cell r="G1678">
            <v>2026</v>
          </cell>
          <cell r="H1678" t="str">
            <v>Q2</v>
          </cell>
          <cell r="I1678" t="str">
            <v>Jason olivos</v>
          </cell>
          <cell r="J1678" t="str">
            <v>NO RFI</v>
          </cell>
          <cell r="K1678">
            <v>46069</v>
          </cell>
        </row>
        <row r="1679">
          <cell r="B1679" t="str">
            <v>EXP_RancoTDDQ22026_166</v>
          </cell>
          <cell r="C1679" t="str">
            <v>0135326_LM_El_Puerto</v>
          </cell>
          <cell r="D1679" t="str">
            <v>M0854</v>
          </cell>
          <cell r="E1679" t="str">
            <v>RANCO TDD 2026</v>
          </cell>
          <cell r="F1679" t="str">
            <v>Expansiones</v>
          </cell>
          <cell r="G1679">
            <v>2026</v>
          </cell>
          <cell r="H1679" t="str">
            <v>Q2</v>
          </cell>
          <cell r="I1679" t="str">
            <v>Jason olivos</v>
          </cell>
          <cell r="J1679" t="str">
            <v>NO RFI</v>
          </cell>
          <cell r="K1679">
            <v>46069</v>
          </cell>
        </row>
        <row r="1680">
          <cell r="B1680" t="str">
            <v>EXP_RancoTDDQ22026_167</v>
          </cell>
          <cell r="C1680" t="str">
            <v>013250668_LM_PS_Fronteras_Unidas</v>
          </cell>
          <cell r="D1680" t="str">
            <v>M0854</v>
          </cell>
          <cell r="E1680" t="str">
            <v>RANCO TDD 2026</v>
          </cell>
          <cell r="F1680" t="str">
            <v>Expansiones</v>
          </cell>
          <cell r="G1680">
            <v>2026</v>
          </cell>
          <cell r="H1680" t="str">
            <v>Q2</v>
          </cell>
          <cell r="I1680" t="str">
            <v>Jason olivos</v>
          </cell>
          <cell r="J1680" t="str">
            <v>NO RFI</v>
          </cell>
          <cell r="K1680">
            <v>46069</v>
          </cell>
        </row>
        <row r="1681">
          <cell r="B1681" t="str">
            <v>EXP_RancoTDDQ22026_168</v>
          </cell>
          <cell r="C1681" t="str">
            <v>0135343_LM_Coliseo_Miguel_Grau</v>
          </cell>
          <cell r="D1681" t="str">
            <v>M0854</v>
          </cell>
          <cell r="E1681" t="str">
            <v>RANCO TDD 2026</v>
          </cell>
          <cell r="F1681" t="str">
            <v>Expansiones</v>
          </cell>
          <cell r="G1681">
            <v>2026</v>
          </cell>
          <cell r="H1681" t="str">
            <v>Q2</v>
          </cell>
          <cell r="I1681" t="str">
            <v>Jason olivos</v>
          </cell>
          <cell r="J1681" t="str">
            <v>NO RFI</v>
          </cell>
          <cell r="K1681">
            <v>46069</v>
          </cell>
        </row>
        <row r="1682">
          <cell r="B1682" t="str">
            <v>EXP_RancoTDDQ22026_169</v>
          </cell>
          <cell r="C1682" t="str">
            <v>0130151_LM_Rosales_Diesel</v>
          </cell>
          <cell r="D1682" t="str">
            <v>M0854</v>
          </cell>
          <cell r="E1682" t="str">
            <v>RANCO TDD 2026</v>
          </cell>
          <cell r="F1682" t="str">
            <v>Expansiones</v>
          </cell>
          <cell r="G1682">
            <v>2026</v>
          </cell>
          <cell r="H1682" t="str">
            <v>Q2</v>
          </cell>
          <cell r="I1682" t="str">
            <v>Jason olivos</v>
          </cell>
          <cell r="J1682" t="str">
            <v>NO RFI</v>
          </cell>
          <cell r="K1682">
            <v>46069</v>
          </cell>
        </row>
        <row r="1683">
          <cell r="B1683" t="str">
            <v>EXP_RancoTDDQ22026_170</v>
          </cell>
          <cell r="C1683" t="str">
            <v>0135589_LM_Oechsle</v>
          </cell>
          <cell r="D1683" t="str">
            <v>M0854</v>
          </cell>
          <cell r="E1683" t="str">
            <v>RANCO TDD 2026</v>
          </cell>
          <cell r="F1683" t="str">
            <v>Expansiones</v>
          </cell>
          <cell r="G1683">
            <v>2026</v>
          </cell>
          <cell r="H1683" t="str">
            <v>Q2</v>
          </cell>
          <cell r="I1683" t="str">
            <v>Jason olivos</v>
          </cell>
          <cell r="J1683" t="str">
            <v>NO RFI</v>
          </cell>
          <cell r="K1683">
            <v>46069</v>
          </cell>
        </row>
        <row r="1684">
          <cell r="B1684" t="str">
            <v>EXP_RancoTDDQ22026_171</v>
          </cell>
          <cell r="C1684" t="str">
            <v>0135758_LM_Cocharcas_De_Mayo</v>
          </cell>
          <cell r="D1684" t="str">
            <v>M0854</v>
          </cell>
          <cell r="E1684" t="str">
            <v>RANCO TDD 2026</v>
          </cell>
          <cell r="F1684" t="str">
            <v>Expansiones</v>
          </cell>
          <cell r="G1684">
            <v>2026</v>
          </cell>
          <cell r="H1684" t="str">
            <v>Q2</v>
          </cell>
          <cell r="I1684" t="str">
            <v>Jason olivos</v>
          </cell>
          <cell r="J1684" t="str">
            <v>NO RFI</v>
          </cell>
          <cell r="K1684">
            <v>46069</v>
          </cell>
        </row>
        <row r="1685">
          <cell r="B1685" t="str">
            <v>EXP_RancoTDDQ22026_172</v>
          </cell>
          <cell r="C1685" t="str">
            <v>0135733_LM_Paruro</v>
          </cell>
          <cell r="D1685" t="str">
            <v>M0854</v>
          </cell>
          <cell r="E1685" t="str">
            <v>RANCO TDD 2026</v>
          </cell>
          <cell r="F1685" t="str">
            <v>Expansiones</v>
          </cell>
          <cell r="G1685">
            <v>2026</v>
          </cell>
          <cell r="H1685" t="str">
            <v>Q2</v>
          </cell>
          <cell r="I1685" t="str">
            <v>Jason olivos</v>
          </cell>
          <cell r="J1685" t="str">
            <v>NO RFI</v>
          </cell>
          <cell r="K1685">
            <v>46069</v>
          </cell>
        </row>
        <row r="1686">
          <cell r="B1686" t="str">
            <v>EXP_RancoTDDQ22026_173</v>
          </cell>
          <cell r="C1686" t="str">
            <v>0135610_LM_PS_Makro_Santa_Anita</v>
          </cell>
          <cell r="D1686" t="str">
            <v>M0854</v>
          </cell>
          <cell r="E1686" t="str">
            <v>RANCO TDD 2026</v>
          </cell>
          <cell r="F1686" t="str">
            <v>Expansiones</v>
          </cell>
          <cell r="G1686">
            <v>2026</v>
          </cell>
          <cell r="H1686" t="str">
            <v>Q2</v>
          </cell>
          <cell r="I1686" t="str">
            <v>Jason olivos</v>
          </cell>
          <cell r="J1686" t="str">
            <v>NO RFI</v>
          </cell>
          <cell r="K1686">
            <v>46069</v>
          </cell>
        </row>
        <row r="1687">
          <cell r="B1687" t="str">
            <v>EXP_RancoTDDQ22026_174</v>
          </cell>
          <cell r="C1687" t="str">
            <v>0130192_LM_Centro_Civico</v>
          </cell>
          <cell r="D1687" t="str">
            <v>M0854</v>
          </cell>
          <cell r="E1687" t="str">
            <v>RANCO TDD 2026</v>
          </cell>
          <cell r="F1687" t="str">
            <v>Expansiones</v>
          </cell>
          <cell r="G1687">
            <v>2026</v>
          </cell>
          <cell r="H1687" t="str">
            <v>Q2</v>
          </cell>
          <cell r="I1687" t="str">
            <v>Jason olivos</v>
          </cell>
          <cell r="J1687" t="str">
            <v>NO RFI</v>
          </cell>
          <cell r="K1687">
            <v>46069</v>
          </cell>
        </row>
        <row r="1688">
          <cell r="B1688" t="str">
            <v>EXP_RancoTDDQ22026_175</v>
          </cell>
          <cell r="C1688" t="str">
            <v>0136324_LM_Pariacoto</v>
          </cell>
          <cell r="D1688" t="str">
            <v>M0854</v>
          </cell>
          <cell r="E1688" t="str">
            <v>RANCO TDD 2026</v>
          </cell>
          <cell r="F1688" t="str">
            <v>Expansiones</v>
          </cell>
          <cell r="G1688">
            <v>2026</v>
          </cell>
          <cell r="H1688" t="str">
            <v>Q2</v>
          </cell>
          <cell r="I1688" t="str">
            <v>Jason olivos</v>
          </cell>
          <cell r="J1688" t="str">
            <v>NO RFI</v>
          </cell>
          <cell r="K1688">
            <v>46069</v>
          </cell>
        </row>
        <row r="1689">
          <cell r="B1689" t="str">
            <v>EXP_RancoTDDQ22026_176</v>
          </cell>
          <cell r="C1689" t="str">
            <v>0135647_LM_Protocolo_Janeiro</v>
          </cell>
          <cell r="D1689" t="str">
            <v>M0854</v>
          </cell>
          <cell r="E1689" t="str">
            <v>RANCO TDD 2026</v>
          </cell>
          <cell r="F1689" t="str">
            <v>Expansiones</v>
          </cell>
          <cell r="G1689">
            <v>2026</v>
          </cell>
          <cell r="H1689" t="str">
            <v>Q2</v>
          </cell>
          <cell r="I1689" t="str">
            <v>Jason olivos</v>
          </cell>
          <cell r="J1689" t="str">
            <v>NO RFI</v>
          </cell>
          <cell r="K1689">
            <v>46069</v>
          </cell>
        </row>
        <row r="1690">
          <cell r="B1690" t="str">
            <v>EXP_RancoTDDQ22026_177</v>
          </cell>
          <cell r="C1690" t="str">
            <v>0135761_LM_Sotomayor</v>
          </cell>
          <cell r="D1690" t="str">
            <v>M0854</v>
          </cell>
          <cell r="E1690" t="str">
            <v>RANCO TDD 2026</v>
          </cell>
          <cell r="F1690" t="str">
            <v>Expansiones</v>
          </cell>
          <cell r="G1690">
            <v>2026</v>
          </cell>
          <cell r="H1690" t="str">
            <v>Q2</v>
          </cell>
          <cell r="I1690" t="str">
            <v>Jason olivos</v>
          </cell>
          <cell r="J1690" t="str">
            <v>NO RFI</v>
          </cell>
          <cell r="K1690">
            <v>46069</v>
          </cell>
        </row>
        <row r="1691">
          <cell r="B1691" t="str">
            <v>EXP_RancoTDDQ22026_178</v>
          </cell>
          <cell r="C1691" t="str">
            <v>0135769_LM_Los_Ficus</v>
          </cell>
          <cell r="D1691" t="str">
            <v>M0854</v>
          </cell>
          <cell r="E1691" t="str">
            <v>RANCO TDD 2026</v>
          </cell>
          <cell r="F1691" t="str">
            <v>Expansiones</v>
          </cell>
          <cell r="G1691">
            <v>2026</v>
          </cell>
          <cell r="H1691" t="str">
            <v>Q2</v>
          </cell>
          <cell r="I1691" t="str">
            <v>Jason olivos</v>
          </cell>
          <cell r="J1691" t="str">
            <v>NO RFI</v>
          </cell>
          <cell r="K1691">
            <v>46069</v>
          </cell>
        </row>
        <row r="1692">
          <cell r="B1692" t="str">
            <v>EXP_RancoTDDQ22026_179</v>
          </cell>
          <cell r="C1692" t="str">
            <v>0130099_LM_5_Esquinas</v>
          </cell>
          <cell r="D1692" t="str">
            <v>M0854</v>
          </cell>
          <cell r="E1692" t="str">
            <v>RANCO TDD 2026</v>
          </cell>
          <cell r="F1692" t="str">
            <v>Expansiones</v>
          </cell>
          <cell r="G1692">
            <v>2026</v>
          </cell>
          <cell r="H1692" t="str">
            <v>Q2</v>
          </cell>
          <cell r="I1692" t="str">
            <v>Jason olivos</v>
          </cell>
          <cell r="J1692" t="str">
            <v>NO RFI</v>
          </cell>
          <cell r="K1692">
            <v>46069</v>
          </cell>
        </row>
        <row r="1693">
          <cell r="B1693" t="str">
            <v>EXP_RancoTDDQ22026_180</v>
          </cell>
          <cell r="C1693" t="str">
            <v>0135757_LM_Jr_Huanta</v>
          </cell>
          <cell r="D1693" t="str">
            <v>M0854</v>
          </cell>
          <cell r="E1693" t="str">
            <v>RANCO TDD 2026</v>
          </cell>
          <cell r="F1693" t="str">
            <v>Expansiones</v>
          </cell>
          <cell r="G1693">
            <v>2026</v>
          </cell>
          <cell r="H1693" t="str">
            <v>Q2</v>
          </cell>
          <cell r="I1693" t="str">
            <v>Jason olivos</v>
          </cell>
          <cell r="J1693" t="str">
            <v>NO RFI</v>
          </cell>
          <cell r="K1693">
            <v>46069</v>
          </cell>
        </row>
        <row r="1694">
          <cell r="B1694" t="str">
            <v>EXP_RancoTDDQ22026_181</v>
          </cell>
          <cell r="C1694" t="str">
            <v>0130055_LM_Plaza_San_Martin</v>
          </cell>
          <cell r="D1694" t="str">
            <v>M0854</v>
          </cell>
          <cell r="E1694" t="str">
            <v>RANCO TDD 2026</v>
          </cell>
          <cell r="F1694" t="str">
            <v>Expansiones</v>
          </cell>
          <cell r="G1694">
            <v>2026</v>
          </cell>
          <cell r="H1694" t="str">
            <v>Q2</v>
          </cell>
          <cell r="I1694" t="str">
            <v>Jason olivos</v>
          </cell>
          <cell r="J1694" t="str">
            <v>NO RFI</v>
          </cell>
          <cell r="K1694">
            <v>46069</v>
          </cell>
        </row>
        <row r="1695">
          <cell r="B1695" t="str">
            <v>EXP_RancoTDDQ22026_182</v>
          </cell>
          <cell r="C1695" t="str">
            <v>0136133_LM_Alisos</v>
          </cell>
          <cell r="D1695" t="str">
            <v>M0854</v>
          </cell>
          <cell r="E1695" t="str">
            <v>RANCO TDD 2026</v>
          </cell>
          <cell r="F1695" t="str">
            <v>Expansiones</v>
          </cell>
          <cell r="G1695">
            <v>2026</v>
          </cell>
          <cell r="H1695" t="str">
            <v>Q2</v>
          </cell>
          <cell r="I1695" t="str">
            <v>Jason olivos</v>
          </cell>
          <cell r="J1695" t="str">
            <v>NO RFI</v>
          </cell>
          <cell r="K1695">
            <v>46069</v>
          </cell>
        </row>
        <row r="1696">
          <cell r="B1696" t="str">
            <v>EXP_RancoTDDQ22026_183</v>
          </cell>
          <cell r="C1696" t="str">
            <v>0130408_LM_Ucayali</v>
          </cell>
          <cell r="D1696" t="str">
            <v>M0854</v>
          </cell>
          <cell r="E1696" t="str">
            <v>RANCO TDD 2026</v>
          </cell>
          <cell r="F1696" t="str">
            <v>Expansiones</v>
          </cell>
          <cell r="G1696">
            <v>2026</v>
          </cell>
          <cell r="H1696" t="str">
            <v>Q2</v>
          </cell>
          <cell r="I1696" t="str">
            <v>Jason olivos</v>
          </cell>
          <cell r="J1696" t="str">
            <v>NO RFI</v>
          </cell>
          <cell r="K1696">
            <v>46069</v>
          </cell>
        </row>
        <row r="1697">
          <cell r="B1697" t="str">
            <v>EXP_RancoTDDQ22026_184</v>
          </cell>
          <cell r="C1697" t="str">
            <v>0130236_LM_Lemos</v>
          </cell>
          <cell r="D1697" t="str">
            <v>M0854</v>
          </cell>
          <cell r="E1697" t="str">
            <v>RANCO TDD 2026</v>
          </cell>
          <cell r="F1697" t="str">
            <v>Expansiones</v>
          </cell>
          <cell r="G1697">
            <v>2026</v>
          </cell>
          <cell r="H1697" t="str">
            <v>Q2</v>
          </cell>
          <cell r="I1697" t="str">
            <v>Jason olivos</v>
          </cell>
          <cell r="J1697" t="str">
            <v>NO RFI</v>
          </cell>
          <cell r="K1697">
            <v>46069</v>
          </cell>
        </row>
        <row r="1698">
          <cell r="B1698" t="str">
            <v>EXP_RancoTDDQ22026_185</v>
          </cell>
          <cell r="C1698" t="str">
            <v>0135615_LM_Agustino_Centro</v>
          </cell>
          <cell r="D1698" t="str">
            <v>M0854</v>
          </cell>
          <cell r="E1698" t="str">
            <v>RANCO TDD 2026</v>
          </cell>
          <cell r="F1698" t="str">
            <v>Expansiones</v>
          </cell>
          <cell r="G1698">
            <v>2026</v>
          </cell>
          <cell r="H1698" t="str">
            <v>Q2</v>
          </cell>
          <cell r="I1698" t="str">
            <v>Jason olivos</v>
          </cell>
          <cell r="J1698" t="str">
            <v>NO RFI</v>
          </cell>
          <cell r="K1698">
            <v>46069</v>
          </cell>
        </row>
        <row r="1699">
          <cell r="B1699" t="str">
            <v>EXP_RancoTDDQ22026_186</v>
          </cell>
          <cell r="C1699" t="str">
            <v>0135773_LM_Jiron_De_La_Union</v>
          </cell>
          <cell r="D1699" t="str">
            <v>M0854</v>
          </cell>
          <cell r="E1699" t="str">
            <v>RANCO TDD 2026</v>
          </cell>
          <cell r="F1699" t="str">
            <v>Expansiones</v>
          </cell>
          <cell r="G1699">
            <v>2026</v>
          </cell>
          <cell r="H1699" t="str">
            <v>Q2</v>
          </cell>
          <cell r="I1699" t="str">
            <v>Jason olivos</v>
          </cell>
          <cell r="J1699" t="str">
            <v>NO RFI</v>
          </cell>
          <cell r="K1699">
            <v>46069</v>
          </cell>
        </row>
        <row r="1700">
          <cell r="B1700" t="str">
            <v>EXP_RancoTDDQ22026_187</v>
          </cell>
          <cell r="C1700" t="str">
            <v>0134624_LM_PS_Toribio_Raygada</v>
          </cell>
          <cell r="D1700" t="str">
            <v>M0854</v>
          </cell>
          <cell r="E1700" t="str">
            <v>RANCO TDD 2026</v>
          </cell>
          <cell r="F1700" t="str">
            <v>Expansiones</v>
          </cell>
          <cell r="G1700">
            <v>2026</v>
          </cell>
          <cell r="H1700" t="str">
            <v>Q2</v>
          </cell>
          <cell r="I1700" t="str">
            <v>Jason olivos</v>
          </cell>
          <cell r="J1700" t="str">
            <v>NO RFI</v>
          </cell>
          <cell r="K1700">
            <v>46069</v>
          </cell>
        </row>
        <row r="1701">
          <cell r="B1701" t="str">
            <v>EXP_RancoTDDQ22026_188</v>
          </cell>
          <cell r="C1701" t="str">
            <v>0136344_LM_Minka</v>
          </cell>
          <cell r="D1701" t="str">
            <v>M0854</v>
          </cell>
          <cell r="E1701" t="str">
            <v>RANCO TDD 2026</v>
          </cell>
          <cell r="F1701" t="str">
            <v>Expansiones</v>
          </cell>
          <cell r="G1701">
            <v>2026</v>
          </cell>
          <cell r="H1701" t="str">
            <v>Q2</v>
          </cell>
          <cell r="I1701" t="str">
            <v>Jason olivos</v>
          </cell>
          <cell r="J1701" t="str">
            <v>NO RFI</v>
          </cell>
          <cell r="K1701">
            <v>46069</v>
          </cell>
        </row>
        <row r="1702">
          <cell r="B1702" t="str">
            <v>EXP_RancoTDDQ22026_189</v>
          </cell>
          <cell r="C1702" t="str">
            <v>0132171_LM_Puruchuco</v>
          </cell>
          <cell r="D1702" t="str">
            <v>M0854</v>
          </cell>
          <cell r="E1702" t="str">
            <v>RANCO TDD 2026</v>
          </cell>
          <cell r="F1702" t="str">
            <v>Expansiones</v>
          </cell>
          <cell r="G1702">
            <v>2026</v>
          </cell>
          <cell r="H1702" t="str">
            <v>Q2</v>
          </cell>
          <cell r="I1702" t="str">
            <v>Jason olivos</v>
          </cell>
          <cell r="J1702" t="str">
            <v>NO RFI</v>
          </cell>
          <cell r="K1702">
            <v>46069</v>
          </cell>
        </row>
        <row r="1703">
          <cell r="B1703" t="str">
            <v>EXP_RancoTDDQ22026_190</v>
          </cell>
          <cell r="C1703" t="str">
            <v>0135605_LM_Llamelin</v>
          </cell>
          <cell r="D1703" t="str">
            <v>M0854</v>
          </cell>
          <cell r="E1703" t="str">
            <v>RANCO TDD 2026</v>
          </cell>
          <cell r="F1703" t="str">
            <v>Expansiones</v>
          </cell>
          <cell r="G1703">
            <v>2026</v>
          </cell>
          <cell r="H1703" t="str">
            <v>Q2</v>
          </cell>
          <cell r="I1703" t="str">
            <v>Jason olivos</v>
          </cell>
          <cell r="J1703" t="str">
            <v>NO RFI</v>
          </cell>
          <cell r="K1703">
            <v>46069</v>
          </cell>
        </row>
        <row r="1704">
          <cell r="B1704" t="str">
            <v>EXP_RancoTDDQ22026_191</v>
          </cell>
          <cell r="C1704" t="str">
            <v>0130106_LM_Eucaliptos</v>
          </cell>
          <cell r="D1704" t="str">
            <v>M0854</v>
          </cell>
          <cell r="E1704" t="str">
            <v>RANCO TDD 2026</v>
          </cell>
          <cell r="F1704" t="str">
            <v>Expansiones</v>
          </cell>
          <cell r="G1704">
            <v>2026</v>
          </cell>
          <cell r="H1704" t="str">
            <v>Q2</v>
          </cell>
          <cell r="I1704" t="str">
            <v>Jason olivos</v>
          </cell>
          <cell r="J1704" t="str">
            <v>NO RFI</v>
          </cell>
          <cell r="K1704">
            <v>46069</v>
          </cell>
        </row>
        <row r="1705">
          <cell r="B1705" t="str">
            <v>EXP_RancoTDDQ22026_192</v>
          </cell>
          <cell r="C1705" t="str">
            <v>0135617_LM_Cristal</v>
          </cell>
          <cell r="D1705" t="str">
            <v>M0854</v>
          </cell>
          <cell r="E1705" t="str">
            <v>RANCO TDD 2026</v>
          </cell>
          <cell r="F1705" t="str">
            <v>Expansiones</v>
          </cell>
          <cell r="G1705">
            <v>2026</v>
          </cell>
          <cell r="H1705" t="str">
            <v>Q2</v>
          </cell>
          <cell r="I1705" t="str">
            <v>Jason olivos</v>
          </cell>
          <cell r="J1705" t="str">
            <v>NO RFI</v>
          </cell>
          <cell r="K1705">
            <v>46069</v>
          </cell>
        </row>
        <row r="1706">
          <cell r="B1706" t="str">
            <v>EXP_RancoTDDQ22026_193</v>
          </cell>
          <cell r="C1706" t="str">
            <v>0135793_LM_Las_Malvinas_R1</v>
          </cell>
          <cell r="D1706" t="str">
            <v>M0854</v>
          </cell>
          <cell r="E1706" t="str">
            <v>RANCO TDD 2026</v>
          </cell>
          <cell r="F1706" t="str">
            <v>Expansiones</v>
          </cell>
          <cell r="G1706">
            <v>2026</v>
          </cell>
          <cell r="H1706" t="str">
            <v>Q2</v>
          </cell>
          <cell r="I1706" t="str">
            <v>Jason olivos</v>
          </cell>
          <cell r="J1706" t="str">
            <v>NO RFI</v>
          </cell>
          <cell r="K1706">
            <v>46069</v>
          </cell>
        </row>
        <row r="1707">
          <cell r="B1707" t="str">
            <v>EXP_RancoTDDQ22026_194</v>
          </cell>
          <cell r="C1707" t="str">
            <v>0135778_LM_Fabricas_Lima</v>
          </cell>
          <cell r="D1707" t="str">
            <v>M0854</v>
          </cell>
          <cell r="E1707" t="str">
            <v>RANCO TDD 2026</v>
          </cell>
          <cell r="F1707" t="str">
            <v>Expansiones</v>
          </cell>
          <cell r="G1707">
            <v>2026</v>
          </cell>
          <cell r="H1707" t="str">
            <v>Q2</v>
          </cell>
          <cell r="I1707" t="str">
            <v>Jason olivos</v>
          </cell>
          <cell r="J1707" t="str">
            <v>NO RFI</v>
          </cell>
          <cell r="K1707">
            <v>46069</v>
          </cell>
        </row>
        <row r="1708">
          <cell r="B1708" t="str">
            <v>EXP_RancoTDDQ22026_195</v>
          </cell>
          <cell r="C1708" t="str">
            <v>0135639_LM_Concepcion_Vitarte</v>
          </cell>
          <cell r="D1708" t="str">
            <v>M0854</v>
          </cell>
          <cell r="E1708" t="str">
            <v>RANCO TDD 2026</v>
          </cell>
          <cell r="F1708" t="str">
            <v>Expansiones</v>
          </cell>
          <cell r="G1708">
            <v>2026</v>
          </cell>
          <cell r="H1708" t="str">
            <v>Q2</v>
          </cell>
          <cell r="I1708" t="str">
            <v>Jason olivos</v>
          </cell>
          <cell r="J1708" t="str">
            <v>NO RFI</v>
          </cell>
          <cell r="K1708">
            <v>46069</v>
          </cell>
        </row>
        <row r="1709">
          <cell r="B1709" t="str">
            <v>EXP_RancoTDDQ22026_196</v>
          </cell>
          <cell r="C1709" t="str">
            <v>0132953_LM_Sedapal_R1</v>
          </cell>
          <cell r="D1709" t="str">
            <v>M0854</v>
          </cell>
          <cell r="E1709" t="str">
            <v>RANCO TDD 2026</v>
          </cell>
          <cell r="F1709" t="str">
            <v>Expansiones</v>
          </cell>
          <cell r="G1709">
            <v>2026</v>
          </cell>
          <cell r="H1709" t="str">
            <v>Q2</v>
          </cell>
          <cell r="I1709" t="str">
            <v>Jason olivos</v>
          </cell>
          <cell r="J1709" t="str">
            <v>NO RFI</v>
          </cell>
          <cell r="K1709">
            <v>46069</v>
          </cell>
        </row>
        <row r="1710">
          <cell r="B1710" t="str">
            <v>EXP_RancoTDDQ22026_197</v>
          </cell>
          <cell r="C1710" t="str">
            <v>0135073_LM_Julio_Tello</v>
          </cell>
          <cell r="D1710" t="str">
            <v>M0854</v>
          </cell>
          <cell r="E1710" t="str">
            <v>RANCO TDD 2026</v>
          </cell>
          <cell r="F1710" t="str">
            <v>Expansiones</v>
          </cell>
          <cell r="G1710">
            <v>2026</v>
          </cell>
          <cell r="H1710" t="str">
            <v>Q2</v>
          </cell>
          <cell r="I1710" t="str">
            <v>Jason olivos</v>
          </cell>
          <cell r="J1710" t="str">
            <v>NO RFI</v>
          </cell>
          <cell r="K1710">
            <v>46069</v>
          </cell>
        </row>
        <row r="1711">
          <cell r="B1711" t="str">
            <v>EXP_RancoTDDQ22026_198</v>
          </cell>
          <cell r="C1711" t="str">
            <v>0135594_LM_Angaraes</v>
          </cell>
          <cell r="D1711" t="str">
            <v>M0854</v>
          </cell>
          <cell r="E1711" t="str">
            <v>RANCO TDD 2026</v>
          </cell>
          <cell r="F1711" t="str">
            <v>Expansiones</v>
          </cell>
          <cell r="G1711">
            <v>2026</v>
          </cell>
          <cell r="H1711" t="str">
            <v>Q2</v>
          </cell>
          <cell r="I1711" t="str">
            <v>Jason olivos</v>
          </cell>
          <cell r="J1711" t="str">
            <v>NO RFI</v>
          </cell>
          <cell r="K1711">
            <v>46069</v>
          </cell>
        </row>
        <row r="1712">
          <cell r="B1712" t="str">
            <v>EXP_RancoTDDQ22026_199</v>
          </cell>
          <cell r="C1712" t="str">
            <v>0132309_LM_Callao_R1</v>
          </cell>
          <cell r="D1712" t="str">
            <v>M0854</v>
          </cell>
          <cell r="E1712" t="str">
            <v>RANCO TDD 2026</v>
          </cell>
          <cell r="F1712" t="str">
            <v>Expansiones</v>
          </cell>
          <cell r="G1712">
            <v>2026</v>
          </cell>
          <cell r="H1712" t="str">
            <v>Q2</v>
          </cell>
          <cell r="I1712" t="str">
            <v>Jason olivos</v>
          </cell>
          <cell r="J1712" t="str">
            <v>NO RFI</v>
          </cell>
          <cell r="K1712">
            <v>46069</v>
          </cell>
        </row>
        <row r="1713">
          <cell r="B1713" t="str">
            <v>EXP_RancoTDDQ22026_200</v>
          </cell>
          <cell r="C1713" t="str">
            <v>0134463_LM_PS_Cultura_Peruana</v>
          </cell>
          <cell r="D1713" t="str">
            <v>M0854</v>
          </cell>
          <cell r="E1713" t="str">
            <v>RANCO TDD 2026</v>
          </cell>
          <cell r="F1713" t="str">
            <v>Expansiones</v>
          </cell>
          <cell r="G1713">
            <v>2026</v>
          </cell>
          <cell r="H1713" t="str">
            <v>Q2</v>
          </cell>
          <cell r="I1713" t="str">
            <v>Jason olivos</v>
          </cell>
          <cell r="J1713" t="str">
            <v>NO RFI</v>
          </cell>
          <cell r="K1713">
            <v>46069</v>
          </cell>
        </row>
        <row r="1714">
          <cell r="B1714" t="str">
            <v>EXP_RancoTDDQ22026_201</v>
          </cell>
          <cell r="C1714" t="str">
            <v>0131641_JU_Univ_Peruana_Andes</v>
          </cell>
          <cell r="D1714" t="str">
            <v>M0854</v>
          </cell>
          <cell r="E1714" t="str">
            <v>RANCO TDD 2026</v>
          </cell>
          <cell r="F1714" t="str">
            <v>Expansiones</v>
          </cell>
          <cell r="G1714">
            <v>2026</v>
          </cell>
          <cell r="H1714" t="str">
            <v>Q2</v>
          </cell>
          <cell r="I1714" t="str">
            <v>Jason olivos</v>
          </cell>
          <cell r="J1714" t="str">
            <v>NO RFI</v>
          </cell>
          <cell r="K1714">
            <v>46069</v>
          </cell>
        </row>
        <row r="1715">
          <cell r="B1715" t="str">
            <v>EXP_RancoTDDQ22026_202</v>
          </cell>
          <cell r="C1715" t="str">
            <v>0131886_LM_Av_Materiales</v>
          </cell>
          <cell r="D1715" t="str">
            <v>M0854</v>
          </cell>
          <cell r="E1715" t="str">
            <v>RANCO TDD 2026</v>
          </cell>
          <cell r="F1715" t="str">
            <v>Expansiones</v>
          </cell>
          <cell r="G1715">
            <v>2026</v>
          </cell>
          <cell r="H1715" t="str">
            <v>Q2</v>
          </cell>
          <cell r="I1715" t="str">
            <v>Jason olivos</v>
          </cell>
          <cell r="J1715" t="str">
            <v>NO RFI</v>
          </cell>
          <cell r="K1715">
            <v>46069</v>
          </cell>
        </row>
        <row r="1716">
          <cell r="B1716" t="str">
            <v>EXP_RancoTDDQ22026_203</v>
          </cell>
          <cell r="C1716" t="str">
            <v>0130016_LM_Santa_Anita</v>
          </cell>
          <cell r="D1716" t="str">
            <v>M0854</v>
          </cell>
          <cell r="E1716" t="str">
            <v>RANCO TDD 2026</v>
          </cell>
          <cell r="F1716" t="str">
            <v>Expansiones</v>
          </cell>
          <cell r="G1716">
            <v>2026</v>
          </cell>
          <cell r="H1716" t="str">
            <v>Q2</v>
          </cell>
          <cell r="I1716" t="str">
            <v>Jason olivos</v>
          </cell>
          <cell r="J1716" t="str">
            <v>NO RFI</v>
          </cell>
          <cell r="K1716">
            <v>46069</v>
          </cell>
        </row>
        <row r="1717">
          <cell r="B1717" t="str">
            <v>EXP_RancoTDDQ22026_204</v>
          </cell>
          <cell r="C1717" t="str">
            <v>0130008_LM_Carmen</v>
          </cell>
          <cell r="D1717" t="str">
            <v>M0854</v>
          </cell>
          <cell r="E1717" t="str">
            <v>RANCO TDD 2026</v>
          </cell>
          <cell r="F1717" t="str">
            <v>Expansiones</v>
          </cell>
          <cell r="G1717">
            <v>2026</v>
          </cell>
          <cell r="H1717" t="str">
            <v>Q2</v>
          </cell>
          <cell r="I1717" t="str">
            <v>Jason olivos</v>
          </cell>
          <cell r="J1717" t="str">
            <v>NO RFI</v>
          </cell>
          <cell r="K1717">
            <v>46069</v>
          </cell>
        </row>
        <row r="1718">
          <cell r="B1718" t="str">
            <v>EXP_RancoTDDQ22026_205</v>
          </cell>
          <cell r="C1718" t="str">
            <v>0130476_LM_Los_Bosques</v>
          </cell>
          <cell r="D1718" t="str">
            <v>M0854</v>
          </cell>
          <cell r="E1718" t="str">
            <v>RANCO TDD 2026</v>
          </cell>
          <cell r="F1718" t="str">
            <v>Expansiones</v>
          </cell>
          <cell r="G1718">
            <v>2026</v>
          </cell>
          <cell r="H1718" t="str">
            <v>Q2</v>
          </cell>
          <cell r="I1718" t="str">
            <v>Jason olivos</v>
          </cell>
          <cell r="J1718" t="str">
            <v>NO RFI</v>
          </cell>
          <cell r="K1718">
            <v>46069</v>
          </cell>
        </row>
        <row r="1719">
          <cell r="B1719" t="str">
            <v>EXP_RancoTDDQ22026_206</v>
          </cell>
          <cell r="C1719" t="str">
            <v>0135608_LM_La_Polvora</v>
          </cell>
          <cell r="D1719" t="str">
            <v>M0854</v>
          </cell>
          <cell r="E1719" t="str">
            <v>RANCO TDD 2026</v>
          </cell>
          <cell r="F1719" t="str">
            <v>Expansiones</v>
          </cell>
          <cell r="G1719">
            <v>2026</v>
          </cell>
          <cell r="H1719" t="str">
            <v>Q2</v>
          </cell>
          <cell r="I1719" t="str">
            <v>Jason olivos</v>
          </cell>
          <cell r="J1719" t="str">
            <v>NO RFI</v>
          </cell>
          <cell r="K1719">
            <v>46069</v>
          </cell>
        </row>
        <row r="1720">
          <cell r="B1720" t="str">
            <v>EXP_RancoTDDQ22026_207</v>
          </cell>
          <cell r="C1720" t="str">
            <v>0135723_LM_Tanque_Gamo</v>
          </cell>
          <cell r="D1720" t="str">
            <v>M0854</v>
          </cell>
          <cell r="E1720" t="str">
            <v>RANCO TDD 2026</v>
          </cell>
          <cell r="F1720" t="str">
            <v>Expansiones</v>
          </cell>
          <cell r="G1720">
            <v>2026</v>
          </cell>
          <cell r="H1720" t="str">
            <v>Q2</v>
          </cell>
          <cell r="I1720" t="str">
            <v>Jason olivos</v>
          </cell>
          <cell r="J1720" t="str">
            <v>NO RFI</v>
          </cell>
          <cell r="K1720">
            <v>46069</v>
          </cell>
        </row>
        <row r="1721">
          <cell r="B1721" t="str">
            <v>EXP_RancoTDDQ22026_208</v>
          </cell>
          <cell r="C1721" t="str">
            <v>0135694_LM_Calle_Viru</v>
          </cell>
          <cell r="D1721" t="str">
            <v>M0854</v>
          </cell>
          <cell r="E1721" t="str">
            <v>RANCO TDD 2026</v>
          </cell>
          <cell r="F1721" t="str">
            <v>Expansiones</v>
          </cell>
          <cell r="G1721">
            <v>2026</v>
          </cell>
          <cell r="H1721" t="str">
            <v>Q2</v>
          </cell>
          <cell r="I1721" t="str">
            <v>Jason olivos</v>
          </cell>
          <cell r="J1721" t="str">
            <v>NO RFI</v>
          </cell>
          <cell r="K1721">
            <v>46069</v>
          </cell>
        </row>
        <row r="1722">
          <cell r="B1722" t="str">
            <v>EXP_RancoTDDQ22026_209</v>
          </cell>
          <cell r="C1722" t="str">
            <v>0136302_LM_By_Pass_Faucett</v>
          </cell>
          <cell r="D1722" t="str">
            <v>M0854</v>
          </cell>
          <cell r="E1722" t="str">
            <v>RANCO TDD 2026</v>
          </cell>
          <cell r="F1722" t="str">
            <v>Expansiones</v>
          </cell>
          <cell r="G1722">
            <v>2026</v>
          </cell>
          <cell r="H1722" t="str">
            <v>Q2</v>
          </cell>
          <cell r="I1722" t="str">
            <v>Jason olivos</v>
          </cell>
          <cell r="J1722" t="str">
            <v>NO RFI</v>
          </cell>
          <cell r="K1722">
            <v>46069</v>
          </cell>
        </row>
        <row r="1723">
          <cell r="B1723" t="str">
            <v>EXP_RancoTDDQ22026_210</v>
          </cell>
          <cell r="C1723" t="str">
            <v>0130542_LM_Yaravi</v>
          </cell>
          <cell r="D1723" t="str">
            <v>M0854</v>
          </cell>
          <cell r="E1723" t="str">
            <v>RANCO TDD 2026</v>
          </cell>
          <cell r="F1723" t="str">
            <v>Expansiones</v>
          </cell>
          <cell r="G1723">
            <v>2026</v>
          </cell>
          <cell r="H1723" t="str">
            <v>Q2</v>
          </cell>
          <cell r="I1723" t="str">
            <v>Jason olivos</v>
          </cell>
          <cell r="J1723" t="str">
            <v>NO RFI</v>
          </cell>
          <cell r="K1723">
            <v>46069</v>
          </cell>
        </row>
        <row r="1724">
          <cell r="B1724" t="str">
            <v>EXP_RancoTDDQ22026_211</v>
          </cell>
          <cell r="C1724" t="str">
            <v>0131149_LM_Nuevo_Caqueta</v>
          </cell>
          <cell r="D1724" t="str">
            <v>M0854</v>
          </cell>
          <cell r="E1724" t="str">
            <v>RANCO TDD 2026</v>
          </cell>
          <cell r="F1724" t="str">
            <v>Expansiones</v>
          </cell>
          <cell r="G1724">
            <v>2026</v>
          </cell>
          <cell r="H1724" t="str">
            <v>Q2</v>
          </cell>
          <cell r="I1724" t="str">
            <v>Jason olivos</v>
          </cell>
          <cell r="J1724" t="str">
            <v>NO RFI</v>
          </cell>
          <cell r="K1724">
            <v>46069</v>
          </cell>
        </row>
        <row r="1725">
          <cell r="B1725" t="str">
            <v>EXP_RancoTDDQ22026_212</v>
          </cell>
          <cell r="C1725" t="str">
            <v>0131329_LM_Recreo_Acobamba</v>
          </cell>
          <cell r="D1725" t="str">
            <v>M0854</v>
          </cell>
          <cell r="E1725" t="str">
            <v>RANCO TDD 2026</v>
          </cell>
          <cell r="F1725" t="str">
            <v>Expansiones</v>
          </cell>
          <cell r="G1725">
            <v>2026</v>
          </cell>
          <cell r="H1725" t="str">
            <v>Q2</v>
          </cell>
          <cell r="I1725" t="str">
            <v>Jason olivos</v>
          </cell>
          <cell r="J1725" t="str">
            <v>NO RFI</v>
          </cell>
          <cell r="K1725">
            <v>46069</v>
          </cell>
        </row>
        <row r="1726">
          <cell r="B1726" t="str">
            <v>EXP_RancoTDDQ22026_213</v>
          </cell>
          <cell r="C1726" t="str">
            <v>0134716_LM_Av_Esperanza</v>
          </cell>
          <cell r="D1726" t="str">
            <v>M0854</v>
          </cell>
          <cell r="E1726" t="str">
            <v>RANCO TDD 2026</v>
          </cell>
          <cell r="F1726" t="str">
            <v>Expansiones</v>
          </cell>
          <cell r="G1726">
            <v>2026</v>
          </cell>
          <cell r="H1726" t="str">
            <v>Q2</v>
          </cell>
          <cell r="I1726" t="str">
            <v>Jason olivos</v>
          </cell>
          <cell r="J1726" t="str">
            <v>NO RFI</v>
          </cell>
          <cell r="K1726">
            <v>46069</v>
          </cell>
        </row>
        <row r="1727">
          <cell r="B1727" t="str">
            <v>EXP_RancoTDDQ22026_214</v>
          </cell>
          <cell r="C1727" t="str">
            <v>013252435_LM_Kairos_R1</v>
          </cell>
          <cell r="D1727" t="str">
            <v>M0854</v>
          </cell>
          <cell r="E1727" t="str">
            <v>RANCO TDD 2026</v>
          </cell>
          <cell r="F1727" t="str">
            <v>Expansiones</v>
          </cell>
          <cell r="G1727">
            <v>2026</v>
          </cell>
          <cell r="H1727" t="str">
            <v>Q2</v>
          </cell>
          <cell r="I1727" t="str">
            <v>Jason olivos</v>
          </cell>
          <cell r="J1727" t="str">
            <v>NO RFI</v>
          </cell>
          <cell r="K1727">
            <v>46069</v>
          </cell>
        </row>
        <row r="1728">
          <cell r="B1728" t="str">
            <v>EXP_RancoTDDQ22026_215</v>
          </cell>
          <cell r="C1728" t="str">
            <v>0131144_LM_Caqueta_R1</v>
          </cell>
          <cell r="D1728" t="str">
            <v>M0854</v>
          </cell>
          <cell r="E1728" t="str">
            <v>RANCO TDD 2026</v>
          </cell>
          <cell r="F1728" t="str">
            <v>Expansiones</v>
          </cell>
          <cell r="G1728">
            <v>2026</v>
          </cell>
          <cell r="H1728" t="str">
            <v>Q2</v>
          </cell>
          <cell r="I1728" t="str">
            <v>Jason olivos</v>
          </cell>
          <cell r="J1728" t="str">
            <v>NO RFI</v>
          </cell>
          <cell r="K1728">
            <v>46069</v>
          </cell>
        </row>
        <row r="1729">
          <cell r="B1729" t="str">
            <v>EXP_RancoTDDQ22026_216</v>
          </cell>
          <cell r="C1729" t="str">
            <v>0130501_LM_Tilda</v>
          </cell>
          <cell r="D1729" t="str">
            <v>M0854</v>
          </cell>
          <cell r="E1729" t="str">
            <v>RANCO TDD 2026</v>
          </cell>
          <cell r="F1729" t="str">
            <v>Expansiones</v>
          </cell>
          <cell r="G1729">
            <v>2026</v>
          </cell>
          <cell r="H1729" t="str">
            <v>Q2</v>
          </cell>
          <cell r="I1729" t="str">
            <v>Jason olivos</v>
          </cell>
          <cell r="J1729" t="str">
            <v>NO RFI</v>
          </cell>
          <cell r="K1729">
            <v>46069</v>
          </cell>
        </row>
        <row r="1730">
          <cell r="B1730" t="str">
            <v>EXP_RancoTDDQ22026_217</v>
          </cell>
          <cell r="C1730" t="str">
            <v>013253682_LM_Duenas_R1</v>
          </cell>
          <cell r="D1730" t="str">
            <v>M0854</v>
          </cell>
          <cell r="E1730" t="str">
            <v>RANCO TDD 2026</v>
          </cell>
          <cell r="F1730" t="str">
            <v>Expansiones</v>
          </cell>
          <cell r="G1730">
            <v>2026</v>
          </cell>
          <cell r="H1730" t="str">
            <v>Q2</v>
          </cell>
          <cell r="I1730" t="str">
            <v>Jason olivos</v>
          </cell>
          <cell r="J1730" t="str">
            <v>NO RFI</v>
          </cell>
          <cell r="K1730">
            <v>46069</v>
          </cell>
        </row>
        <row r="1731">
          <cell r="B1731" t="str">
            <v>EXP_RancoTDDQ22026_218</v>
          </cell>
          <cell r="C1731" t="str">
            <v>0130095_LM_Bella_Union</v>
          </cell>
          <cell r="D1731" t="str">
            <v>M0854</v>
          </cell>
          <cell r="E1731" t="str">
            <v>RANCO TDD 2026</v>
          </cell>
          <cell r="F1731" t="str">
            <v>Expansiones</v>
          </cell>
          <cell r="G1731">
            <v>2026</v>
          </cell>
          <cell r="H1731" t="str">
            <v>Q2</v>
          </cell>
          <cell r="I1731" t="str">
            <v>Jason olivos</v>
          </cell>
          <cell r="J1731" t="str">
            <v>NO RFI</v>
          </cell>
          <cell r="K1731">
            <v>46069</v>
          </cell>
        </row>
        <row r="1732">
          <cell r="B1732" t="str">
            <v>EXP_RancoTDDQ22026_219</v>
          </cell>
          <cell r="C1732" t="str">
            <v>0132974_LM_Malecon_De_Amistad</v>
          </cell>
          <cell r="D1732" t="str">
            <v>M0854</v>
          </cell>
          <cell r="E1732" t="str">
            <v>RANCO TDD 2026</v>
          </cell>
          <cell r="F1732" t="str">
            <v>Expansiones</v>
          </cell>
          <cell r="G1732">
            <v>2026</v>
          </cell>
          <cell r="H1732" t="str">
            <v>Q2</v>
          </cell>
          <cell r="I1732" t="str">
            <v>Jason olivos</v>
          </cell>
          <cell r="J1732" t="str">
            <v>NO RFI</v>
          </cell>
          <cell r="K1732">
            <v>46069</v>
          </cell>
        </row>
        <row r="1733">
          <cell r="B1733" t="str">
            <v>EXP_RancoTDDQ22026_220</v>
          </cell>
          <cell r="C1733" t="str">
            <v>0135624_LM_El_Pueblo</v>
          </cell>
          <cell r="D1733" t="str">
            <v>M0854</v>
          </cell>
          <cell r="E1733" t="str">
            <v>RANCO TDD 2026</v>
          </cell>
          <cell r="F1733" t="str">
            <v>Expansiones</v>
          </cell>
          <cell r="G1733">
            <v>2026</v>
          </cell>
          <cell r="H1733" t="str">
            <v>Q2</v>
          </cell>
          <cell r="I1733" t="str">
            <v>Jason olivos</v>
          </cell>
          <cell r="J1733" t="str">
            <v>NO RFI</v>
          </cell>
          <cell r="K1733">
            <v>46069</v>
          </cell>
        </row>
        <row r="1734">
          <cell r="B1734" t="str">
            <v>EXP_RancoTDDQ22026_221</v>
          </cell>
          <cell r="C1734" t="str">
            <v>0130182_LM_Peru</v>
          </cell>
          <cell r="D1734" t="str">
            <v>M0854</v>
          </cell>
          <cell r="E1734" t="str">
            <v>RANCO TDD 2026</v>
          </cell>
          <cell r="F1734" t="str">
            <v>Expansiones</v>
          </cell>
          <cell r="G1734">
            <v>2026</v>
          </cell>
          <cell r="H1734" t="str">
            <v>Q2</v>
          </cell>
          <cell r="I1734" t="str">
            <v>Jason olivos</v>
          </cell>
          <cell r="J1734" t="str">
            <v>NO RFI</v>
          </cell>
          <cell r="K1734">
            <v>46069</v>
          </cell>
        </row>
        <row r="1735">
          <cell r="B1735" t="str">
            <v>EXP_RancoTDDQ22026_222</v>
          </cell>
          <cell r="C1735" t="str">
            <v>013254074_LM_ParqueMayor</v>
          </cell>
          <cell r="D1735" t="str">
            <v>M0854</v>
          </cell>
          <cell r="E1735" t="str">
            <v>RANCO TDD 2026</v>
          </cell>
          <cell r="F1735" t="str">
            <v>Expansiones</v>
          </cell>
          <cell r="G1735">
            <v>2026</v>
          </cell>
          <cell r="H1735" t="str">
            <v>Q2</v>
          </cell>
          <cell r="I1735" t="str">
            <v>Jason olivos</v>
          </cell>
          <cell r="J1735" t="str">
            <v>NO RFI</v>
          </cell>
          <cell r="K1735">
            <v>46069</v>
          </cell>
        </row>
        <row r="1736">
          <cell r="B1736" t="str">
            <v>EXP_RancoTDDQ22026_223</v>
          </cell>
          <cell r="C1736" t="str">
            <v>0135543_LM_Ladera_Caja_De_Agua</v>
          </cell>
          <cell r="D1736" t="str">
            <v>M0854</v>
          </cell>
          <cell r="E1736" t="str">
            <v>RANCO TDD 2026</v>
          </cell>
          <cell r="F1736" t="str">
            <v>Expansiones</v>
          </cell>
          <cell r="G1736">
            <v>2026</v>
          </cell>
          <cell r="H1736" t="str">
            <v>Q2</v>
          </cell>
          <cell r="I1736" t="str">
            <v>Jason olivos</v>
          </cell>
          <cell r="J1736" t="str">
            <v>NO RFI</v>
          </cell>
          <cell r="K1736">
            <v>46069</v>
          </cell>
        </row>
        <row r="1737">
          <cell r="B1737" t="str">
            <v>EXP_RancoTDDQ22026_224</v>
          </cell>
          <cell r="C1737" t="str">
            <v>0136343_LM_Terminal</v>
          </cell>
          <cell r="D1737" t="str">
            <v>M0854</v>
          </cell>
          <cell r="E1737" t="str">
            <v>RANCO TDD 2026</v>
          </cell>
          <cell r="F1737" t="str">
            <v>Expansiones</v>
          </cell>
          <cell r="G1737">
            <v>2026</v>
          </cell>
          <cell r="H1737" t="str">
            <v>Q2</v>
          </cell>
          <cell r="I1737" t="str">
            <v>Jason olivos</v>
          </cell>
          <cell r="J1737" t="str">
            <v>NO RFI</v>
          </cell>
          <cell r="K1737">
            <v>46069</v>
          </cell>
        </row>
        <row r="1738">
          <cell r="B1738" t="str">
            <v>EXP_RancoTDDQ22026_225</v>
          </cell>
          <cell r="C1738" t="str">
            <v>0132419_LM_Pututos</v>
          </cell>
          <cell r="D1738" t="str">
            <v>M0854</v>
          </cell>
          <cell r="E1738" t="str">
            <v>RANCO TDD 2026</v>
          </cell>
          <cell r="F1738" t="str">
            <v>Expansiones</v>
          </cell>
          <cell r="G1738">
            <v>2026</v>
          </cell>
          <cell r="H1738" t="str">
            <v>Q2</v>
          </cell>
          <cell r="I1738" t="str">
            <v>Jason olivos</v>
          </cell>
          <cell r="J1738" t="str">
            <v>NO RFI</v>
          </cell>
          <cell r="K1738">
            <v>46069</v>
          </cell>
        </row>
        <row r="1739">
          <cell r="B1739" t="str">
            <v>EXP_RancoTDDQ22026_226</v>
          </cell>
          <cell r="C1739" t="str">
            <v>013254731_LM_El_Foquito</v>
          </cell>
          <cell r="D1739" t="str">
            <v>M0854</v>
          </cell>
          <cell r="E1739" t="str">
            <v>RANCO TDD 2026</v>
          </cell>
          <cell r="F1739" t="str">
            <v>Expansiones</v>
          </cell>
          <cell r="G1739">
            <v>2026</v>
          </cell>
          <cell r="H1739" t="str">
            <v>Q2</v>
          </cell>
          <cell r="I1739" t="str">
            <v>Jason olivos</v>
          </cell>
          <cell r="J1739" t="str">
            <v>NO RFI</v>
          </cell>
          <cell r="K1739">
            <v>46069</v>
          </cell>
        </row>
        <row r="1740">
          <cell r="B1740" t="str">
            <v>EXP_RancoTDDQ22026_227</v>
          </cell>
          <cell r="C1740" t="str">
            <v>0130460_LM_Campoy</v>
          </cell>
          <cell r="D1740" t="str">
            <v>M0854</v>
          </cell>
          <cell r="E1740" t="str">
            <v>RANCO TDD 2026</v>
          </cell>
          <cell r="F1740" t="str">
            <v>Expansiones</v>
          </cell>
          <cell r="G1740">
            <v>2026</v>
          </cell>
          <cell r="H1740" t="str">
            <v>Q2</v>
          </cell>
          <cell r="I1740" t="str">
            <v>Jason olivos</v>
          </cell>
          <cell r="J1740" t="str">
            <v>NO RFI</v>
          </cell>
          <cell r="K1740">
            <v>46069</v>
          </cell>
        </row>
        <row r="1741">
          <cell r="B1741" t="str">
            <v>EXP_RancoTDDQ22026_228</v>
          </cell>
          <cell r="C1741" t="str">
            <v>0135616_LM_Alameda_De_Ate</v>
          </cell>
          <cell r="D1741" t="str">
            <v>M0854</v>
          </cell>
          <cell r="E1741" t="str">
            <v>RANCO TDD 2026</v>
          </cell>
          <cell r="F1741" t="str">
            <v>Expansiones</v>
          </cell>
          <cell r="G1741">
            <v>2026</v>
          </cell>
          <cell r="H1741" t="str">
            <v>Q2</v>
          </cell>
          <cell r="I1741" t="str">
            <v>Jason olivos</v>
          </cell>
          <cell r="J1741" t="str">
            <v>NO RFI</v>
          </cell>
          <cell r="K1741">
            <v>46069</v>
          </cell>
        </row>
        <row r="1742">
          <cell r="B1742" t="str">
            <v>EXP_RancoTDDQ22026_229</v>
          </cell>
          <cell r="C1742" t="str">
            <v>0130311_LM_Santa_Clara</v>
          </cell>
          <cell r="D1742" t="str">
            <v>M0854</v>
          </cell>
          <cell r="E1742" t="str">
            <v>RANCO TDD 2026</v>
          </cell>
          <cell r="F1742" t="str">
            <v>Expansiones</v>
          </cell>
          <cell r="G1742">
            <v>2026</v>
          </cell>
          <cell r="H1742" t="str">
            <v>Q2</v>
          </cell>
          <cell r="I1742" t="str">
            <v>Jason olivos</v>
          </cell>
          <cell r="J1742" t="str">
            <v>NO RFI</v>
          </cell>
          <cell r="K1742">
            <v>46069</v>
          </cell>
        </row>
        <row r="1743">
          <cell r="B1743" t="str">
            <v>EXP_RancoTDDQ22026_230</v>
          </cell>
          <cell r="C1743" t="str">
            <v>0135482_LM_Estacion_Uni</v>
          </cell>
          <cell r="D1743" t="str">
            <v>M0854</v>
          </cell>
          <cell r="E1743" t="str">
            <v>RANCO TDD 2026</v>
          </cell>
          <cell r="F1743" t="str">
            <v>Expansiones</v>
          </cell>
          <cell r="G1743">
            <v>2026</v>
          </cell>
          <cell r="H1743" t="str">
            <v>Q2</v>
          </cell>
          <cell r="I1743" t="str">
            <v>Jason olivos</v>
          </cell>
          <cell r="J1743" t="str">
            <v>NO RFI</v>
          </cell>
          <cell r="K1743">
            <v>46069</v>
          </cell>
        </row>
        <row r="1744">
          <cell r="B1744" t="str">
            <v>EXP_RancoTDDQ22026_231</v>
          </cell>
          <cell r="C1744" t="str">
            <v>0130011_LM_Lurigancho</v>
          </cell>
          <cell r="D1744" t="str">
            <v>M0854</v>
          </cell>
          <cell r="E1744" t="str">
            <v>RANCO TDD 2026</v>
          </cell>
          <cell r="F1744" t="str">
            <v>Expansiones</v>
          </cell>
          <cell r="G1744">
            <v>2026</v>
          </cell>
          <cell r="H1744" t="str">
            <v>Q2</v>
          </cell>
          <cell r="I1744" t="str">
            <v>Jason olivos</v>
          </cell>
          <cell r="J1744" t="str">
            <v>NO RFI</v>
          </cell>
          <cell r="K1744">
            <v>46069</v>
          </cell>
        </row>
        <row r="1745">
          <cell r="B1745" t="str">
            <v>EXP_RancoTDDQ22026_232</v>
          </cell>
          <cell r="C1745" t="str">
            <v>0135567_LM_Benito_Juarez</v>
          </cell>
          <cell r="D1745" t="str">
            <v>M0854</v>
          </cell>
          <cell r="E1745" t="str">
            <v>RANCO TDD 2026</v>
          </cell>
          <cell r="F1745" t="str">
            <v>Expansiones</v>
          </cell>
          <cell r="G1745">
            <v>2026</v>
          </cell>
          <cell r="H1745" t="str">
            <v>Q2</v>
          </cell>
          <cell r="I1745" t="str">
            <v>Jason olivos</v>
          </cell>
          <cell r="J1745" t="str">
            <v>NO RFI</v>
          </cell>
          <cell r="K1745">
            <v>46069</v>
          </cell>
        </row>
        <row r="1746">
          <cell r="B1746" t="str">
            <v>EXP_RancoTDDQ22026_233</v>
          </cell>
          <cell r="C1746" t="str">
            <v>0135576_LM_San_Luis_Gonzaga</v>
          </cell>
          <cell r="D1746" t="str">
            <v>M0854</v>
          </cell>
          <cell r="E1746" t="str">
            <v>RANCO TDD 2026</v>
          </cell>
          <cell r="F1746" t="str">
            <v>Expansiones</v>
          </cell>
          <cell r="G1746">
            <v>2026</v>
          </cell>
          <cell r="H1746" t="str">
            <v>Q2</v>
          </cell>
          <cell r="I1746" t="str">
            <v>Jason olivos</v>
          </cell>
          <cell r="J1746" t="str">
            <v>NO RFI</v>
          </cell>
          <cell r="K1746">
            <v>46069</v>
          </cell>
        </row>
        <row r="1747">
          <cell r="B1747" t="str">
            <v>EXP_RancoTDDQ22026_234</v>
          </cell>
          <cell r="C1747" t="str">
            <v>0135545_LM_Techo_Propio</v>
          </cell>
          <cell r="D1747" t="str">
            <v>M0854</v>
          </cell>
          <cell r="E1747" t="str">
            <v>RANCO TDD 2026</v>
          </cell>
          <cell r="F1747" t="str">
            <v>Expansiones</v>
          </cell>
          <cell r="G1747">
            <v>2026</v>
          </cell>
          <cell r="H1747" t="str">
            <v>Q2</v>
          </cell>
          <cell r="I1747" t="str">
            <v>Jason olivos</v>
          </cell>
          <cell r="J1747" t="str">
            <v>NO RFI</v>
          </cell>
          <cell r="K1747">
            <v>46069</v>
          </cell>
        </row>
        <row r="1748">
          <cell r="B1748" t="str">
            <v>EXP_RancoTDDQ22026_235</v>
          </cell>
          <cell r="C1748" t="str">
            <v>0135481_LM_Javier_Luna_Pizarro</v>
          </cell>
          <cell r="D1748" t="str">
            <v>M0854</v>
          </cell>
          <cell r="E1748" t="str">
            <v>RANCO TDD 2026</v>
          </cell>
          <cell r="F1748" t="str">
            <v>Expansiones</v>
          </cell>
          <cell r="G1748">
            <v>2026</v>
          </cell>
          <cell r="H1748" t="str">
            <v>Q2</v>
          </cell>
          <cell r="I1748" t="str">
            <v>Jason olivos</v>
          </cell>
          <cell r="J1748" t="str">
            <v>NO RFI</v>
          </cell>
          <cell r="K1748">
            <v>46069</v>
          </cell>
        </row>
        <row r="1749">
          <cell r="B1749" t="str">
            <v>EXP_RancoTDDQ22026_236</v>
          </cell>
          <cell r="C1749" t="str">
            <v>0135642_LM_Civico_Vitarte</v>
          </cell>
          <cell r="D1749" t="str">
            <v>M0854</v>
          </cell>
          <cell r="E1749" t="str">
            <v>RANCO TDD 2026</v>
          </cell>
          <cell r="F1749" t="str">
            <v>Expansiones</v>
          </cell>
          <cell r="G1749">
            <v>2026</v>
          </cell>
          <cell r="H1749" t="str">
            <v>Q2</v>
          </cell>
          <cell r="I1749" t="str">
            <v>Jason olivos</v>
          </cell>
          <cell r="J1749" t="str">
            <v>NO RFI</v>
          </cell>
          <cell r="K1749">
            <v>46069</v>
          </cell>
        </row>
        <row r="1750">
          <cell r="B1750" t="str">
            <v>EXP_RancoTDDQ22026_237</v>
          </cell>
          <cell r="C1750" t="str">
            <v>0130188_LM_Huachipa</v>
          </cell>
          <cell r="D1750" t="str">
            <v>M0854</v>
          </cell>
          <cell r="E1750" t="str">
            <v>RANCO TDD 2026</v>
          </cell>
          <cell r="F1750" t="str">
            <v>Expansiones</v>
          </cell>
          <cell r="G1750">
            <v>2026</v>
          </cell>
          <cell r="H1750" t="str">
            <v>Q2</v>
          </cell>
          <cell r="I1750" t="str">
            <v>Jason olivos</v>
          </cell>
          <cell r="J1750" t="str">
            <v>NO RFI</v>
          </cell>
          <cell r="K1750">
            <v>46069</v>
          </cell>
        </row>
        <row r="1751">
          <cell r="B1751" t="str">
            <v>EXP_RancoTDDQ22026_238</v>
          </cell>
          <cell r="C1751" t="str">
            <v>0130480_LM_Palao</v>
          </cell>
          <cell r="D1751" t="str">
            <v>M0854</v>
          </cell>
          <cell r="E1751" t="str">
            <v>RANCO TDD 2026</v>
          </cell>
          <cell r="F1751" t="str">
            <v>Expansiones</v>
          </cell>
          <cell r="G1751">
            <v>2026</v>
          </cell>
          <cell r="H1751" t="str">
            <v>Q2</v>
          </cell>
          <cell r="I1751" t="str">
            <v>Jason olivos</v>
          </cell>
          <cell r="J1751" t="str">
            <v>NO RFI</v>
          </cell>
          <cell r="K1751">
            <v>46069</v>
          </cell>
        </row>
        <row r="1752">
          <cell r="B1752" t="str">
            <v>EXP_RancoTDDQ22026_239</v>
          </cell>
          <cell r="C1752" t="str">
            <v>0130490_LM_UNI</v>
          </cell>
          <cell r="D1752" t="str">
            <v>M0854</v>
          </cell>
          <cell r="E1752" t="str">
            <v>RANCO TDD 2026</v>
          </cell>
          <cell r="F1752" t="str">
            <v>Expansiones</v>
          </cell>
          <cell r="G1752">
            <v>2026</v>
          </cell>
          <cell r="H1752" t="str">
            <v>Q2</v>
          </cell>
          <cell r="I1752" t="str">
            <v>Jason olivos</v>
          </cell>
          <cell r="J1752" t="str">
            <v>NO RFI</v>
          </cell>
          <cell r="K1752">
            <v>46069</v>
          </cell>
        </row>
        <row r="1753">
          <cell r="B1753" t="str">
            <v>EXP_RancoTDDQ22026_240</v>
          </cell>
          <cell r="C1753" t="str">
            <v>013251389_LM_Amancaes_R1</v>
          </cell>
          <cell r="D1753" t="str">
            <v>M0854</v>
          </cell>
          <cell r="E1753" t="str">
            <v>RANCO TDD 2026</v>
          </cell>
          <cell r="F1753" t="str">
            <v>Expansiones</v>
          </cell>
          <cell r="G1753">
            <v>2026</v>
          </cell>
          <cell r="H1753" t="str">
            <v>Q2</v>
          </cell>
          <cell r="I1753" t="str">
            <v>Jason olivos</v>
          </cell>
          <cell r="J1753" t="str">
            <v>NO RFI</v>
          </cell>
          <cell r="K1753">
            <v>46069</v>
          </cell>
        </row>
        <row r="1754">
          <cell r="B1754" t="str">
            <v>EXP_RancoTDDQ22026_241</v>
          </cell>
          <cell r="C1754" t="str">
            <v>0135322_LM_Parque_Los_Pozos</v>
          </cell>
          <cell r="D1754" t="str">
            <v>M0854</v>
          </cell>
          <cell r="E1754" t="str">
            <v>RANCO TDD 2026</v>
          </cell>
          <cell r="F1754" t="str">
            <v>Expansiones</v>
          </cell>
          <cell r="G1754">
            <v>2026</v>
          </cell>
          <cell r="H1754" t="str">
            <v>Q2</v>
          </cell>
          <cell r="I1754" t="str">
            <v>Jason olivos</v>
          </cell>
          <cell r="J1754" t="str">
            <v>NO RFI</v>
          </cell>
          <cell r="K1754">
            <v>46069</v>
          </cell>
        </row>
        <row r="1755">
          <cell r="B1755" t="str">
            <v>EXP_RancoTDDQ22026_242</v>
          </cell>
          <cell r="C1755" t="str">
            <v>013251244_LM_MacroEstacionPiramide</v>
          </cell>
          <cell r="D1755" t="str">
            <v>M0854</v>
          </cell>
          <cell r="E1755" t="str">
            <v>RANCO TDD 2026</v>
          </cell>
          <cell r="F1755" t="str">
            <v>Expansiones</v>
          </cell>
          <cell r="G1755">
            <v>2026</v>
          </cell>
          <cell r="H1755" t="str">
            <v>Q2</v>
          </cell>
          <cell r="I1755" t="str">
            <v>Jason olivos</v>
          </cell>
          <cell r="J1755" t="str">
            <v>NO RFI</v>
          </cell>
          <cell r="K1755">
            <v>46069</v>
          </cell>
        </row>
        <row r="1756">
          <cell r="B1756" t="str">
            <v>EXP_RancoTDDQ22026_243</v>
          </cell>
          <cell r="C1756" t="str">
            <v>0135475_LM_San_German_Smp</v>
          </cell>
          <cell r="D1756" t="str">
            <v>M0854</v>
          </cell>
          <cell r="E1756" t="str">
            <v>RANCO TDD 2026</v>
          </cell>
          <cell r="F1756" t="str">
            <v>Expansiones</v>
          </cell>
          <cell r="G1756">
            <v>2026</v>
          </cell>
          <cell r="H1756" t="str">
            <v>Q2</v>
          </cell>
          <cell r="I1756" t="str">
            <v>Jason olivos</v>
          </cell>
          <cell r="J1756" t="str">
            <v>NO RFI</v>
          </cell>
          <cell r="K1756">
            <v>46069</v>
          </cell>
        </row>
        <row r="1757">
          <cell r="B1757" t="str">
            <v>EXP_RancoTDDQ22026_244</v>
          </cell>
          <cell r="C1757" t="str">
            <v>0132933_LM_PS_Covirimac</v>
          </cell>
          <cell r="D1757" t="str">
            <v>M0854</v>
          </cell>
          <cell r="E1757" t="str">
            <v>RANCO TDD 2026</v>
          </cell>
          <cell r="F1757" t="str">
            <v>Expansiones</v>
          </cell>
          <cell r="G1757">
            <v>2026</v>
          </cell>
          <cell r="H1757" t="str">
            <v>Q2</v>
          </cell>
          <cell r="I1757" t="str">
            <v>Jason olivos</v>
          </cell>
          <cell r="J1757" t="str">
            <v>NO RFI</v>
          </cell>
          <cell r="K1757">
            <v>46069</v>
          </cell>
        </row>
        <row r="1758">
          <cell r="B1758" t="str">
            <v>EXP_RancoTDDQ22026_245</v>
          </cell>
          <cell r="C1758" t="str">
            <v>0130100_LM_Bartolome</v>
          </cell>
          <cell r="D1758" t="str">
            <v>M0854</v>
          </cell>
          <cell r="E1758" t="str">
            <v>RANCO TDD 2026</v>
          </cell>
          <cell r="F1758" t="str">
            <v>Expansiones</v>
          </cell>
          <cell r="G1758">
            <v>2026</v>
          </cell>
          <cell r="H1758" t="str">
            <v>Q2</v>
          </cell>
          <cell r="I1758" t="str">
            <v>Jason olivos</v>
          </cell>
          <cell r="J1758" t="str">
            <v>NO RFI</v>
          </cell>
          <cell r="K1758">
            <v>46069</v>
          </cell>
        </row>
        <row r="1759">
          <cell r="B1759" t="str">
            <v>EXP_RancoTDDQ22026_246</v>
          </cell>
          <cell r="C1759" t="str">
            <v>0133581_LH_Aparicio_Pomares</v>
          </cell>
          <cell r="D1759" t="str">
            <v>M0854</v>
          </cell>
          <cell r="E1759" t="str">
            <v>RANCO TDD 2026</v>
          </cell>
          <cell r="F1759" t="str">
            <v>Expansiones</v>
          </cell>
          <cell r="G1759">
            <v>2026</v>
          </cell>
          <cell r="H1759" t="str">
            <v>Q2</v>
          </cell>
          <cell r="I1759" t="str">
            <v>Jason olivos</v>
          </cell>
          <cell r="J1759" t="str">
            <v>NO RFI</v>
          </cell>
          <cell r="K1759">
            <v>46069</v>
          </cell>
        </row>
        <row r="1760">
          <cell r="B1760" t="str">
            <v>EXP_RancoTDDQ22026_247</v>
          </cell>
          <cell r="C1760" t="str">
            <v>0135536_LM_Ruibardos</v>
          </cell>
          <cell r="D1760" t="str">
            <v>M0854</v>
          </cell>
          <cell r="E1760" t="str">
            <v>RANCO TDD 2026</v>
          </cell>
          <cell r="F1760" t="str">
            <v>Expansiones</v>
          </cell>
          <cell r="G1760">
            <v>2026</v>
          </cell>
          <cell r="H1760" t="str">
            <v>Q2</v>
          </cell>
          <cell r="I1760" t="str">
            <v>Jason olivos</v>
          </cell>
          <cell r="J1760" t="str">
            <v>NO RFI</v>
          </cell>
          <cell r="K1760">
            <v>46069</v>
          </cell>
        </row>
        <row r="1761">
          <cell r="B1761" t="str">
            <v>EXP_RancoTDDQ22026_248</v>
          </cell>
          <cell r="C1761" t="str">
            <v>0130005_LM_SMPorres</v>
          </cell>
          <cell r="D1761" t="str">
            <v>M0854</v>
          </cell>
          <cell r="E1761" t="str">
            <v>RANCO TDD 2026</v>
          </cell>
          <cell r="F1761" t="str">
            <v>Expansiones</v>
          </cell>
          <cell r="G1761">
            <v>2026</v>
          </cell>
          <cell r="H1761" t="str">
            <v>Q2</v>
          </cell>
          <cell r="I1761" t="str">
            <v>Jason olivos</v>
          </cell>
          <cell r="J1761" t="str">
            <v>NO RFI</v>
          </cell>
          <cell r="K1761">
            <v>46069</v>
          </cell>
        </row>
        <row r="1762">
          <cell r="B1762" t="str">
            <v>EXP_RancoTDDQ22026_249</v>
          </cell>
          <cell r="C1762" t="str">
            <v>0135410_LM_Huaca_Uni</v>
          </cell>
          <cell r="D1762" t="str">
            <v>M0854</v>
          </cell>
          <cell r="E1762" t="str">
            <v>RANCO TDD 2026</v>
          </cell>
          <cell r="F1762" t="str">
            <v>Expansiones</v>
          </cell>
          <cell r="G1762">
            <v>2026</v>
          </cell>
          <cell r="H1762" t="str">
            <v>Q2</v>
          </cell>
          <cell r="I1762" t="str">
            <v>Jason olivos</v>
          </cell>
          <cell r="J1762" t="str">
            <v>NO RFI</v>
          </cell>
          <cell r="K1762">
            <v>46069</v>
          </cell>
        </row>
        <row r="1763">
          <cell r="B1763" t="str">
            <v>EXP_RancoTDDQ22026_250</v>
          </cell>
          <cell r="C1763" t="str">
            <v>0135321_LM_Pan_Con_Libertad</v>
          </cell>
          <cell r="D1763" t="str">
            <v>M0854</v>
          </cell>
          <cell r="E1763" t="str">
            <v>RANCO TDD 2026</v>
          </cell>
          <cell r="F1763" t="str">
            <v>Expansiones</v>
          </cell>
          <cell r="G1763">
            <v>2026</v>
          </cell>
          <cell r="H1763" t="str">
            <v>Q2</v>
          </cell>
          <cell r="I1763" t="str">
            <v>Jason olivos</v>
          </cell>
          <cell r="J1763" t="str">
            <v>NO RFI</v>
          </cell>
          <cell r="K1763">
            <v>46069</v>
          </cell>
        </row>
        <row r="1764">
          <cell r="B1764" t="str">
            <v>EXP_RancoTDDQ22026_251</v>
          </cell>
          <cell r="C1764" t="str">
            <v>0135691_LM_Flor_De_Amancaes</v>
          </cell>
          <cell r="D1764" t="str">
            <v>M0854</v>
          </cell>
          <cell r="E1764" t="str">
            <v>RANCO TDD 2026</v>
          </cell>
          <cell r="F1764" t="str">
            <v>Expansiones</v>
          </cell>
          <cell r="G1764">
            <v>2026</v>
          </cell>
          <cell r="H1764" t="str">
            <v>Q2</v>
          </cell>
          <cell r="I1764" t="str">
            <v>Jason olivos</v>
          </cell>
          <cell r="J1764" t="str">
            <v>NO RFI</v>
          </cell>
          <cell r="K1764">
            <v>46069</v>
          </cell>
        </row>
        <row r="1765">
          <cell r="B1765" t="str">
            <v>EXP_RancoTDDQ22026_252</v>
          </cell>
          <cell r="C1765" t="str">
            <v>0135019_LM_Gloria_Grande</v>
          </cell>
          <cell r="D1765" t="str">
            <v>M0854</v>
          </cell>
          <cell r="E1765" t="str">
            <v>RANCO TDD 2026</v>
          </cell>
          <cell r="F1765" t="str">
            <v>Expansiones</v>
          </cell>
          <cell r="G1765">
            <v>2026</v>
          </cell>
          <cell r="H1765" t="str">
            <v>Q2</v>
          </cell>
          <cell r="I1765" t="str">
            <v>Jason olivos</v>
          </cell>
          <cell r="J1765" t="str">
            <v>NO RFI</v>
          </cell>
          <cell r="K1765">
            <v>46069</v>
          </cell>
        </row>
        <row r="1766">
          <cell r="B1766" t="str">
            <v>EXP_RancoTDDQ22026_253</v>
          </cell>
          <cell r="C1766" t="str">
            <v>0136407_LM_PS_Alto_Campoy</v>
          </cell>
          <cell r="D1766" t="str">
            <v>M0854</v>
          </cell>
          <cell r="E1766" t="str">
            <v>RANCO TDD 2026</v>
          </cell>
          <cell r="F1766" t="str">
            <v>Expansiones</v>
          </cell>
          <cell r="G1766">
            <v>2026</v>
          </cell>
          <cell r="H1766" t="str">
            <v>Q2</v>
          </cell>
          <cell r="I1766" t="str">
            <v>Jason olivos</v>
          </cell>
          <cell r="J1766" t="str">
            <v>NO RFI</v>
          </cell>
          <cell r="K1766">
            <v>46069</v>
          </cell>
        </row>
        <row r="1767">
          <cell r="B1767" t="str">
            <v>EXP_RancoTDDQ22026_254</v>
          </cell>
          <cell r="C1767" t="str">
            <v>013171676_LM_Quinones_R1</v>
          </cell>
          <cell r="D1767" t="str">
            <v>M0854</v>
          </cell>
          <cell r="E1767" t="str">
            <v>RANCO TDD 2026</v>
          </cell>
          <cell r="F1767" t="str">
            <v>Expansiones</v>
          </cell>
          <cell r="G1767">
            <v>2026</v>
          </cell>
          <cell r="H1767" t="str">
            <v>Q2</v>
          </cell>
          <cell r="I1767" t="str">
            <v>Jason olivos</v>
          </cell>
          <cell r="J1767" t="str">
            <v>NO RFI</v>
          </cell>
          <cell r="K1767">
            <v>46069</v>
          </cell>
        </row>
        <row r="1768">
          <cell r="B1768" t="str">
            <v>EXP_RancoTDDQ22026_255</v>
          </cell>
          <cell r="C1768" t="str">
            <v>0134451_LM_PS_Av_Mariscal_Caceres</v>
          </cell>
          <cell r="D1768" t="str">
            <v>M0854</v>
          </cell>
          <cell r="E1768" t="str">
            <v>RANCO TDD 2026</v>
          </cell>
          <cell r="F1768" t="str">
            <v>Expansiones</v>
          </cell>
          <cell r="G1768">
            <v>2026</v>
          </cell>
          <cell r="H1768" t="str">
            <v>Q2</v>
          </cell>
          <cell r="I1768" t="str">
            <v>Jason olivos</v>
          </cell>
          <cell r="J1768" t="str">
            <v>NO RFI</v>
          </cell>
          <cell r="K1768">
            <v>46069</v>
          </cell>
        </row>
        <row r="1769">
          <cell r="B1769" t="str">
            <v>EXP_RancoTDDQ22026_256</v>
          </cell>
          <cell r="C1769" t="str">
            <v>0130485_LM_Valle_Rimac</v>
          </cell>
          <cell r="D1769" t="str">
            <v>M0854</v>
          </cell>
          <cell r="E1769" t="str">
            <v>RANCO TDD 2026</v>
          </cell>
          <cell r="F1769" t="str">
            <v>Expansiones</v>
          </cell>
          <cell r="G1769">
            <v>2026</v>
          </cell>
          <cell r="H1769" t="str">
            <v>Q2</v>
          </cell>
          <cell r="I1769" t="str">
            <v>Jason olivos</v>
          </cell>
          <cell r="J1769" t="str">
            <v>NO RFI</v>
          </cell>
          <cell r="K1769">
            <v>46069</v>
          </cell>
        </row>
        <row r="1770">
          <cell r="B1770" t="str">
            <v>EXP_RancoTDDQ22026_257</v>
          </cell>
          <cell r="C1770" t="str">
            <v>0135676_LM_San_Alberto</v>
          </cell>
          <cell r="D1770" t="str">
            <v>M0854</v>
          </cell>
          <cell r="E1770" t="str">
            <v>RANCO TDD 2026</v>
          </cell>
          <cell r="F1770" t="str">
            <v>Expansiones</v>
          </cell>
          <cell r="G1770">
            <v>2026</v>
          </cell>
          <cell r="H1770" t="str">
            <v>Q2</v>
          </cell>
          <cell r="I1770" t="str">
            <v>Jason olivos</v>
          </cell>
          <cell r="J1770" t="str">
            <v>NO RFI</v>
          </cell>
          <cell r="K1770">
            <v>46069</v>
          </cell>
        </row>
        <row r="1771">
          <cell r="B1771" t="str">
            <v>EXP_RancoTDDQ22026_258</v>
          </cell>
          <cell r="C1771" t="str">
            <v>0131390_LM_Muralla_Amancaes</v>
          </cell>
          <cell r="D1771" t="str">
            <v>M0854</v>
          </cell>
          <cell r="E1771" t="str">
            <v>RANCO TDD 2026</v>
          </cell>
          <cell r="F1771" t="str">
            <v>Expansiones</v>
          </cell>
          <cell r="G1771">
            <v>2026</v>
          </cell>
          <cell r="H1771" t="str">
            <v>Q2</v>
          </cell>
          <cell r="I1771" t="str">
            <v>Jason olivos</v>
          </cell>
          <cell r="J1771" t="str">
            <v>NO RFI</v>
          </cell>
          <cell r="K1771">
            <v>46069</v>
          </cell>
        </row>
        <row r="1772">
          <cell r="B1772" t="str">
            <v>EXP_RancoTDDQ22026_259</v>
          </cell>
          <cell r="C1772" t="str">
            <v>0130284_LM_Bocanegra</v>
          </cell>
          <cell r="D1772" t="str">
            <v>M0854</v>
          </cell>
          <cell r="E1772" t="str">
            <v>RANCO TDD 2026</v>
          </cell>
          <cell r="F1772" t="str">
            <v>Expansiones</v>
          </cell>
          <cell r="G1772">
            <v>2026</v>
          </cell>
          <cell r="H1772" t="str">
            <v>Q2</v>
          </cell>
          <cell r="I1772" t="str">
            <v>Jason olivos</v>
          </cell>
          <cell r="J1772" t="str">
            <v>NO RFI</v>
          </cell>
          <cell r="K1772">
            <v>46069</v>
          </cell>
        </row>
        <row r="1773">
          <cell r="B1773" t="str">
            <v>EXP_RancoTDDQ22026_260</v>
          </cell>
          <cell r="C1773" t="str">
            <v>0135027_LM_Horacio_Zevallos</v>
          </cell>
          <cell r="D1773" t="str">
            <v>M0854</v>
          </cell>
          <cell r="E1773" t="str">
            <v>RANCO TDD 2026</v>
          </cell>
          <cell r="F1773" t="str">
            <v>Expansiones</v>
          </cell>
          <cell r="G1773">
            <v>2026</v>
          </cell>
          <cell r="H1773" t="str">
            <v>Q2</v>
          </cell>
          <cell r="I1773" t="str">
            <v>Jason olivos</v>
          </cell>
          <cell r="J1773" t="str">
            <v>NO RFI</v>
          </cell>
          <cell r="K1773">
            <v>46069</v>
          </cell>
        </row>
        <row r="1774">
          <cell r="B1774" t="str">
            <v>EXP_RancoTDDQ22026_261</v>
          </cell>
          <cell r="C1774" t="str">
            <v>0130116_LM_Tomas_Valle</v>
          </cell>
          <cell r="D1774" t="str">
            <v>M0854</v>
          </cell>
          <cell r="E1774" t="str">
            <v>RANCO TDD 2026</v>
          </cell>
          <cell r="F1774" t="str">
            <v>Expansiones</v>
          </cell>
          <cell r="G1774">
            <v>2026</v>
          </cell>
          <cell r="H1774" t="str">
            <v>Q2</v>
          </cell>
          <cell r="I1774" t="str">
            <v>Jason olivos</v>
          </cell>
          <cell r="J1774" t="str">
            <v>NO RFI</v>
          </cell>
          <cell r="K1774">
            <v>46069</v>
          </cell>
        </row>
        <row r="1775">
          <cell r="B1775" t="str">
            <v>EXP_RancoTDDQ22026_262</v>
          </cell>
          <cell r="C1775" t="str">
            <v>0130103_LM_Wiracocha</v>
          </cell>
          <cell r="D1775" t="str">
            <v>M0854</v>
          </cell>
          <cell r="E1775" t="str">
            <v>RANCO TDD 2026</v>
          </cell>
          <cell r="F1775" t="str">
            <v>Expansiones</v>
          </cell>
          <cell r="G1775">
            <v>2026</v>
          </cell>
          <cell r="H1775" t="str">
            <v>Q2</v>
          </cell>
          <cell r="I1775" t="str">
            <v>Jason olivos</v>
          </cell>
          <cell r="J1775" t="str">
            <v>NO RFI</v>
          </cell>
          <cell r="K1775">
            <v>46069</v>
          </cell>
        </row>
        <row r="1776">
          <cell r="B1776" t="str">
            <v>EXP_RancoTDDQ22026_263</v>
          </cell>
          <cell r="C1776" t="str">
            <v>0135228_LM_PS_Las_Hiedras</v>
          </cell>
          <cell r="D1776" t="str">
            <v>M0854</v>
          </cell>
          <cell r="E1776" t="str">
            <v>RANCO TDD 2026</v>
          </cell>
          <cell r="F1776" t="str">
            <v>Expansiones</v>
          </cell>
          <cell r="G1776">
            <v>2026</v>
          </cell>
          <cell r="H1776" t="str">
            <v>Q2</v>
          </cell>
          <cell r="I1776" t="str">
            <v>Jason olivos</v>
          </cell>
          <cell r="J1776" t="str">
            <v>NO RFI</v>
          </cell>
          <cell r="K1776">
            <v>46069</v>
          </cell>
        </row>
        <row r="1777">
          <cell r="B1777" t="str">
            <v>EXP_RancoTDDQ22026_264</v>
          </cell>
          <cell r="C1777" t="str">
            <v>0135302_LM_Colectora</v>
          </cell>
          <cell r="D1777" t="str">
            <v>M0854</v>
          </cell>
          <cell r="E1777" t="str">
            <v>RANCO TDD 2026</v>
          </cell>
          <cell r="F1777" t="str">
            <v>Expansiones</v>
          </cell>
          <cell r="G1777">
            <v>2026</v>
          </cell>
          <cell r="H1777" t="str">
            <v>Q2</v>
          </cell>
          <cell r="I1777" t="str">
            <v>Jason olivos</v>
          </cell>
          <cell r="J1777" t="str">
            <v>NO RFI</v>
          </cell>
          <cell r="K1777">
            <v>46069</v>
          </cell>
        </row>
        <row r="1778">
          <cell r="B1778" t="str">
            <v>EXP_RancoTDDQ22026_265</v>
          </cell>
          <cell r="C1778" t="str">
            <v>0135534_LM_Nuevo_San_Juan</v>
          </cell>
          <cell r="D1778" t="str">
            <v>M0854</v>
          </cell>
          <cell r="E1778" t="str">
            <v>RANCO TDD 2026</v>
          </cell>
          <cell r="F1778" t="str">
            <v>Expansiones</v>
          </cell>
          <cell r="G1778">
            <v>2026</v>
          </cell>
          <cell r="H1778" t="str">
            <v>Q2</v>
          </cell>
          <cell r="I1778" t="str">
            <v>Jason olivos</v>
          </cell>
          <cell r="J1778" t="str">
            <v>NO RFI</v>
          </cell>
          <cell r="K1778">
            <v>46069</v>
          </cell>
        </row>
        <row r="1779">
          <cell r="B1779" t="str">
            <v>EXP_RancoTDDQ22026_266</v>
          </cell>
          <cell r="C1779" t="str">
            <v>0130295_LM_Centenario</v>
          </cell>
          <cell r="D1779" t="str">
            <v>M0854</v>
          </cell>
          <cell r="E1779" t="str">
            <v>RANCO TDD 2026</v>
          </cell>
          <cell r="F1779" t="str">
            <v>Expansiones</v>
          </cell>
          <cell r="G1779">
            <v>2026</v>
          </cell>
          <cell r="H1779" t="str">
            <v>Q2</v>
          </cell>
          <cell r="I1779" t="str">
            <v>Jason olivos</v>
          </cell>
          <cell r="J1779" t="str">
            <v>NO RFI</v>
          </cell>
          <cell r="K1779">
            <v>46069</v>
          </cell>
        </row>
        <row r="1780">
          <cell r="B1780" t="str">
            <v>EXP_RancoTDDQ22026_267</v>
          </cell>
          <cell r="C1780" t="str">
            <v>0134249_LM_El_Condor</v>
          </cell>
          <cell r="D1780" t="str">
            <v>M0854</v>
          </cell>
          <cell r="E1780" t="str">
            <v>RANCO TDD 2026</v>
          </cell>
          <cell r="F1780" t="str">
            <v>Expansiones</v>
          </cell>
          <cell r="G1780">
            <v>2026</v>
          </cell>
          <cell r="H1780" t="str">
            <v>Q2</v>
          </cell>
          <cell r="I1780" t="str">
            <v>Jason olivos</v>
          </cell>
          <cell r="J1780" t="str">
            <v>NO RFI</v>
          </cell>
          <cell r="K1780">
            <v>46069</v>
          </cell>
        </row>
        <row r="1781">
          <cell r="B1781" t="str">
            <v>EXP_RancoTDDQ22026_268</v>
          </cell>
          <cell r="C1781" t="str">
            <v>0130312_LM_Huaycan</v>
          </cell>
          <cell r="D1781" t="str">
            <v>M0854</v>
          </cell>
          <cell r="E1781" t="str">
            <v>RANCO TDD 2026</v>
          </cell>
          <cell r="F1781" t="str">
            <v>Expansiones</v>
          </cell>
          <cell r="G1781">
            <v>2026</v>
          </cell>
          <cell r="H1781" t="str">
            <v>Q2</v>
          </cell>
          <cell r="I1781" t="str">
            <v>Jason olivos</v>
          </cell>
          <cell r="J1781" t="str">
            <v>NO RFI</v>
          </cell>
          <cell r="K1781">
            <v>46069</v>
          </cell>
        </row>
        <row r="1782">
          <cell r="B1782" t="str">
            <v>EXP_RancoTDDQ22026_269</v>
          </cell>
          <cell r="C1782" t="str">
            <v>0135531_LM_Canto_Chico</v>
          </cell>
          <cell r="D1782" t="str">
            <v>M0854</v>
          </cell>
          <cell r="E1782" t="str">
            <v>RANCO TDD 2026</v>
          </cell>
          <cell r="F1782" t="str">
            <v>Expansiones</v>
          </cell>
          <cell r="G1782">
            <v>2026</v>
          </cell>
          <cell r="H1782" t="str">
            <v>Q2</v>
          </cell>
          <cell r="I1782" t="str">
            <v>Jason olivos</v>
          </cell>
          <cell r="J1782" t="str">
            <v>NO RFI</v>
          </cell>
          <cell r="K1782">
            <v>46069</v>
          </cell>
        </row>
        <row r="1783">
          <cell r="B1783" t="str">
            <v>EXP_RancoTDDQ22026_270</v>
          </cell>
          <cell r="C1783" t="str">
            <v>0135170_LM_Sparza_Club</v>
          </cell>
          <cell r="D1783" t="str">
            <v>M0854</v>
          </cell>
          <cell r="E1783" t="str">
            <v>RANCO TDD 2026</v>
          </cell>
          <cell r="F1783" t="str">
            <v>Expansiones</v>
          </cell>
          <cell r="G1783">
            <v>2026</v>
          </cell>
          <cell r="H1783" t="str">
            <v>Q2</v>
          </cell>
          <cell r="I1783" t="str">
            <v>Jason olivos</v>
          </cell>
          <cell r="J1783" t="str">
            <v>NO RFI</v>
          </cell>
          <cell r="K1783">
            <v>46069</v>
          </cell>
        </row>
        <row r="1784">
          <cell r="B1784" t="str">
            <v>EXP_RancoTDDQ22026_271</v>
          </cell>
          <cell r="C1784" t="str">
            <v>0130351_LM_Picher_R1</v>
          </cell>
          <cell r="D1784" t="str">
            <v>M0854</v>
          </cell>
          <cell r="E1784" t="str">
            <v>RANCO TDD 2026</v>
          </cell>
          <cell r="F1784" t="str">
            <v>Expansiones</v>
          </cell>
          <cell r="G1784">
            <v>2026</v>
          </cell>
          <cell r="H1784" t="str">
            <v>Q2</v>
          </cell>
          <cell r="I1784" t="str">
            <v>Jason olivos</v>
          </cell>
          <cell r="J1784" t="str">
            <v>NO RFI</v>
          </cell>
          <cell r="K1784">
            <v>46069</v>
          </cell>
        </row>
        <row r="1785">
          <cell r="B1785" t="str">
            <v>EXP_RancoTDDQ22026_272</v>
          </cell>
          <cell r="C1785" t="str">
            <v>0131121_LM_Hangares_Faucett</v>
          </cell>
          <cell r="D1785" t="str">
            <v>M0854</v>
          </cell>
          <cell r="E1785" t="str">
            <v>RANCO TDD 2026</v>
          </cell>
          <cell r="F1785" t="str">
            <v>Expansiones</v>
          </cell>
          <cell r="G1785">
            <v>2026</v>
          </cell>
          <cell r="H1785" t="str">
            <v>Q2</v>
          </cell>
          <cell r="I1785" t="str">
            <v>Jason olivos</v>
          </cell>
          <cell r="J1785" t="str">
            <v>NO RFI</v>
          </cell>
          <cell r="K1785">
            <v>46069</v>
          </cell>
        </row>
        <row r="1786">
          <cell r="B1786" t="str">
            <v>EXP_RancoTDDQ22026_273</v>
          </cell>
          <cell r="C1786" t="str">
            <v>0135574_LM_Pelitres</v>
          </cell>
          <cell r="D1786" t="str">
            <v>M0854</v>
          </cell>
          <cell r="E1786" t="str">
            <v>RANCO TDD 2026</v>
          </cell>
          <cell r="F1786" t="str">
            <v>Expansiones</v>
          </cell>
          <cell r="G1786">
            <v>2026</v>
          </cell>
          <cell r="H1786" t="str">
            <v>Q2</v>
          </cell>
          <cell r="I1786" t="str">
            <v>Jason olivos</v>
          </cell>
          <cell r="J1786" t="str">
            <v>NO RFI</v>
          </cell>
          <cell r="K1786">
            <v>46069</v>
          </cell>
        </row>
        <row r="1787">
          <cell r="B1787" t="str">
            <v>EXP_RancoTDDQ22026_274</v>
          </cell>
          <cell r="C1787" t="str">
            <v>0130486_LM_Los_Jaspes</v>
          </cell>
          <cell r="D1787" t="str">
            <v>M0854</v>
          </cell>
          <cell r="E1787" t="str">
            <v>RANCO TDD 2026</v>
          </cell>
          <cell r="F1787" t="str">
            <v>Expansiones</v>
          </cell>
          <cell r="G1787">
            <v>2026</v>
          </cell>
          <cell r="H1787" t="str">
            <v>Q2</v>
          </cell>
          <cell r="I1787" t="str">
            <v>Jason olivos</v>
          </cell>
          <cell r="J1787" t="str">
            <v>NO RFI</v>
          </cell>
          <cell r="K1787">
            <v>46069</v>
          </cell>
        </row>
        <row r="1788">
          <cell r="B1788" t="str">
            <v>EXP_RancoTDDQ22026_275</v>
          </cell>
          <cell r="C1788" t="str">
            <v>0135192_LM_Tres_Cruces</v>
          </cell>
          <cell r="D1788" t="str">
            <v>M0854</v>
          </cell>
          <cell r="E1788" t="str">
            <v>RANCO TDD 2026</v>
          </cell>
          <cell r="F1788" t="str">
            <v>Expansiones</v>
          </cell>
          <cell r="G1788">
            <v>2026</v>
          </cell>
          <cell r="H1788" t="str">
            <v>Q2</v>
          </cell>
          <cell r="I1788" t="str">
            <v>Jason olivos</v>
          </cell>
          <cell r="J1788" t="str">
            <v>NO RFI</v>
          </cell>
          <cell r="K1788">
            <v>46069</v>
          </cell>
        </row>
        <row r="1789">
          <cell r="B1789" t="str">
            <v>EXP_RancoTDDQ22026_276</v>
          </cell>
          <cell r="C1789" t="str">
            <v>0135144_LM_PS_Postes_Este</v>
          </cell>
          <cell r="D1789" t="str">
            <v>M0854</v>
          </cell>
          <cell r="E1789" t="str">
            <v>RANCO TDD 2026</v>
          </cell>
          <cell r="F1789" t="str">
            <v>Expansiones</v>
          </cell>
          <cell r="G1789">
            <v>2026</v>
          </cell>
          <cell r="H1789" t="str">
            <v>Q2</v>
          </cell>
          <cell r="I1789" t="str">
            <v>Jason olivos</v>
          </cell>
          <cell r="J1789" t="str">
            <v>NO RFI</v>
          </cell>
          <cell r="K1789">
            <v>46069</v>
          </cell>
        </row>
        <row r="1790">
          <cell r="B1790" t="str">
            <v>EXP_RancoTDDQ22026_277</v>
          </cell>
          <cell r="C1790" t="str">
            <v>0130201_LM_Mega_Plaza</v>
          </cell>
          <cell r="D1790" t="str">
            <v>M0854</v>
          </cell>
          <cell r="E1790" t="str">
            <v>RANCO TDD 2026</v>
          </cell>
          <cell r="F1790" t="str">
            <v>Expansiones</v>
          </cell>
          <cell r="G1790">
            <v>2026</v>
          </cell>
          <cell r="H1790" t="str">
            <v>Q2</v>
          </cell>
          <cell r="I1790" t="str">
            <v>Jason olivos</v>
          </cell>
          <cell r="J1790" t="str">
            <v>NO RFI</v>
          </cell>
          <cell r="K1790">
            <v>46069</v>
          </cell>
        </row>
        <row r="1791">
          <cell r="B1791" t="str">
            <v>EXP_RancoTDDQ22026_278</v>
          </cell>
          <cell r="C1791" t="str">
            <v>0135652_LM_Ermitano</v>
          </cell>
          <cell r="D1791" t="str">
            <v>M0854</v>
          </cell>
          <cell r="E1791" t="str">
            <v>RANCO TDD 2026</v>
          </cell>
          <cell r="F1791" t="str">
            <v>Expansiones</v>
          </cell>
          <cell r="G1791">
            <v>2026</v>
          </cell>
          <cell r="H1791" t="str">
            <v>Q2</v>
          </cell>
          <cell r="I1791" t="str">
            <v>Jason olivos</v>
          </cell>
          <cell r="J1791" t="str">
            <v>NO RFI</v>
          </cell>
          <cell r="K1791">
            <v>46069</v>
          </cell>
        </row>
        <row r="1792">
          <cell r="B1792" t="str">
            <v>EXP_RancoTDDQ22026_279</v>
          </cell>
          <cell r="C1792" t="str">
            <v>0135582_LM_Areniscas</v>
          </cell>
          <cell r="D1792" t="str">
            <v>M0854</v>
          </cell>
          <cell r="E1792" t="str">
            <v>RANCO TDD 2026</v>
          </cell>
          <cell r="F1792" t="str">
            <v>Expansiones</v>
          </cell>
          <cell r="G1792">
            <v>2026</v>
          </cell>
          <cell r="H1792" t="str">
            <v>Q2</v>
          </cell>
          <cell r="I1792" t="str">
            <v>Jason olivos</v>
          </cell>
          <cell r="J1792" t="str">
            <v>NO RFI</v>
          </cell>
          <cell r="K1792">
            <v>46069</v>
          </cell>
        </row>
        <row r="1793">
          <cell r="B1793" t="str">
            <v>EXP_RancoTDDQ22026_280</v>
          </cell>
          <cell r="C1793" t="str">
            <v>013250906_LM_Mega_Tupac</v>
          </cell>
          <cell r="D1793" t="str">
            <v>M0854</v>
          </cell>
          <cell r="E1793" t="str">
            <v>RANCO TDD 2026</v>
          </cell>
          <cell r="F1793" t="str">
            <v>Expansiones</v>
          </cell>
          <cell r="G1793">
            <v>2026</v>
          </cell>
          <cell r="H1793" t="str">
            <v>Q2</v>
          </cell>
          <cell r="I1793" t="str">
            <v>Jason olivos</v>
          </cell>
          <cell r="J1793" t="str">
            <v>NO RFI</v>
          </cell>
          <cell r="K1793">
            <v>46069</v>
          </cell>
        </row>
        <row r="1794">
          <cell r="B1794" t="str">
            <v>EXP_RancoTDDQ22026_281</v>
          </cell>
          <cell r="C1794" t="str">
            <v>0131396_LM_Las_Mimbreras</v>
          </cell>
          <cell r="D1794" t="str">
            <v>M0854</v>
          </cell>
          <cell r="E1794" t="str">
            <v>RANCO TDD 2026</v>
          </cell>
          <cell r="F1794" t="str">
            <v>Expansiones</v>
          </cell>
          <cell r="G1794">
            <v>2026</v>
          </cell>
          <cell r="H1794" t="str">
            <v>Q2</v>
          </cell>
          <cell r="I1794" t="str">
            <v>Jason olivos</v>
          </cell>
          <cell r="J1794" t="str">
            <v>NO RFI</v>
          </cell>
          <cell r="K1794">
            <v>46069</v>
          </cell>
        </row>
        <row r="1795">
          <cell r="B1795" t="str">
            <v>EXP_RancoTDDQ22026_282</v>
          </cell>
          <cell r="C1795" t="str">
            <v>0135660_LM_Sector_Iii</v>
          </cell>
          <cell r="D1795" t="str">
            <v>M0854</v>
          </cell>
          <cell r="E1795" t="str">
            <v>RANCO TDD 2026</v>
          </cell>
          <cell r="F1795" t="str">
            <v>Expansiones</v>
          </cell>
          <cell r="G1795">
            <v>2026</v>
          </cell>
          <cell r="H1795" t="str">
            <v>Q2</v>
          </cell>
          <cell r="I1795" t="str">
            <v>Jason olivos</v>
          </cell>
          <cell r="J1795" t="str">
            <v>NO RFI</v>
          </cell>
          <cell r="K1795">
            <v>46069</v>
          </cell>
        </row>
        <row r="1796">
          <cell r="B1796" t="str">
            <v>EXP_RancoTDDQ22026_283</v>
          </cell>
          <cell r="C1796" t="str">
            <v>0135655_LM_Ninos_Martires</v>
          </cell>
          <cell r="D1796" t="str">
            <v>M0854</v>
          </cell>
          <cell r="E1796" t="str">
            <v>RANCO TDD 2026</v>
          </cell>
          <cell r="F1796" t="str">
            <v>Expansiones</v>
          </cell>
          <cell r="G1796">
            <v>2026</v>
          </cell>
          <cell r="H1796" t="str">
            <v>Q2</v>
          </cell>
          <cell r="I1796" t="str">
            <v>Jason olivos</v>
          </cell>
          <cell r="J1796" t="str">
            <v>NO RFI</v>
          </cell>
          <cell r="K1796">
            <v>46069</v>
          </cell>
        </row>
        <row r="1797">
          <cell r="B1797" t="str">
            <v>EXP_RancoTDDQ22026_284</v>
          </cell>
          <cell r="C1797" t="str">
            <v>0135651_LM_Pampa_De_Cueva</v>
          </cell>
          <cell r="D1797" t="str">
            <v>M0854</v>
          </cell>
          <cell r="E1797" t="str">
            <v>RANCO TDD 2026</v>
          </cell>
          <cell r="F1797" t="str">
            <v>Expansiones</v>
          </cell>
          <cell r="G1797">
            <v>2026</v>
          </cell>
          <cell r="H1797" t="str">
            <v>Q2</v>
          </cell>
          <cell r="I1797" t="str">
            <v>Jason olivos</v>
          </cell>
          <cell r="J1797" t="str">
            <v>NO RFI</v>
          </cell>
          <cell r="K1797">
            <v>46069</v>
          </cell>
        </row>
        <row r="1798">
          <cell r="B1798" t="str">
            <v>EXP_RancoTDDQ22026_285</v>
          </cell>
          <cell r="C1798" t="str">
            <v>0135183_LM_Anillo_Jicamarca</v>
          </cell>
          <cell r="D1798" t="str">
            <v>M0854</v>
          </cell>
          <cell r="E1798" t="str">
            <v>RANCO TDD 2026</v>
          </cell>
          <cell r="F1798" t="str">
            <v>Expansiones</v>
          </cell>
          <cell r="G1798">
            <v>2026</v>
          </cell>
          <cell r="H1798" t="str">
            <v>Q2</v>
          </cell>
          <cell r="I1798" t="str">
            <v>Jason olivos</v>
          </cell>
          <cell r="J1798" t="str">
            <v>NO RFI</v>
          </cell>
          <cell r="K1798">
            <v>46069</v>
          </cell>
        </row>
        <row r="1799">
          <cell r="B1799" t="str">
            <v>EXP_RancoTDDQ22026_286</v>
          </cell>
          <cell r="C1799" t="str">
            <v>0132422_LM_Oxalidas</v>
          </cell>
          <cell r="D1799" t="str">
            <v>M0854</v>
          </cell>
          <cell r="E1799" t="str">
            <v>RANCO TDD 2026</v>
          </cell>
          <cell r="F1799" t="str">
            <v>Expansiones</v>
          </cell>
          <cell r="G1799">
            <v>2026</v>
          </cell>
          <cell r="H1799" t="str">
            <v>Q2</v>
          </cell>
          <cell r="I1799" t="str">
            <v>Jason olivos</v>
          </cell>
          <cell r="J1799" t="str">
            <v>NO RFI</v>
          </cell>
          <cell r="K1799">
            <v>46069</v>
          </cell>
        </row>
        <row r="1800">
          <cell r="B1800" t="str">
            <v>EXP_RancoTDDQ22026_287</v>
          </cell>
          <cell r="C1800" t="str">
            <v>0130313_LM_El_Cuadro</v>
          </cell>
          <cell r="D1800" t="str">
            <v>M0854</v>
          </cell>
          <cell r="E1800" t="str">
            <v>RANCO TDD 2026</v>
          </cell>
          <cell r="F1800" t="str">
            <v>Expansiones</v>
          </cell>
          <cell r="G1800">
            <v>2026</v>
          </cell>
          <cell r="H1800" t="str">
            <v>Q2</v>
          </cell>
          <cell r="I1800" t="str">
            <v>Jason olivos</v>
          </cell>
          <cell r="J1800" t="str">
            <v>NO RFI</v>
          </cell>
          <cell r="K1800">
            <v>46069</v>
          </cell>
        </row>
        <row r="1801">
          <cell r="B1801" t="str">
            <v>EXP_RancoTDDQ22026_288</v>
          </cell>
          <cell r="C1801" t="str">
            <v>0130326_LM_Plaza_Vea_Las_Flores</v>
          </cell>
          <cell r="D1801" t="str">
            <v>M0854</v>
          </cell>
          <cell r="E1801" t="str">
            <v>RANCO TDD 2026</v>
          </cell>
          <cell r="F1801" t="str">
            <v>Expansiones</v>
          </cell>
          <cell r="G1801">
            <v>2026</v>
          </cell>
          <cell r="H1801" t="str">
            <v>Q2</v>
          </cell>
          <cell r="I1801" t="str">
            <v>Jason olivos</v>
          </cell>
          <cell r="J1801" t="str">
            <v>NO RFI</v>
          </cell>
          <cell r="K1801">
            <v>46069</v>
          </cell>
        </row>
        <row r="1802">
          <cell r="B1802" t="str">
            <v>EXP_RancoTDDQ22026_289</v>
          </cell>
          <cell r="C1802" t="str">
            <v>0135668_LM_Panamericana_Norte</v>
          </cell>
          <cell r="D1802" t="str">
            <v>M0854</v>
          </cell>
          <cell r="E1802" t="str">
            <v>RANCO TDD 2026</v>
          </cell>
          <cell r="F1802" t="str">
            <v>Expansiones</v>
          </cell>
          <cell r="G1802">
            <v>2026</v>
          </cell>
          <cell r="H1802" t="str">
            <v>Q2</v>
          </cell>
          <cell r="I1802" t="str">
            <v>Jason olivos</v>
          </cell>
          <cell r="J1802" t="str">
            <v>NO RFI</v>
          </cell>
          <cell r="K1802">
            <v>46069</v>
          </cell>
        </row>
        <row r="1803">
          <cell r="B1803" t="str">
            <v>EXP_RancoTDDQ22026_290</v>
          </cell>
          <cell r="C1803" t="str">
            <v>0135650_LM_Aravicus</v>
          </cell>
          <cell r="D1803" t="str">
            <v>M0854</v>
          </cell>
          <cell r="E1803" t="str">
            <v>RANCO TDD 2026</v>
          </cell>
          <cell r="F1803" t="str">
            <v>Expansiones</v>
          </cell>
          <cell r="G1803">
            <v>2026</v>
          </cell>
          <cell r="H1803" t="str">
            <v>Q2</v>
          </cell>
          <cell r="I1803" t="str">
            <v>Jason olivos</v>
          </cell>
          <cell r="J1803" t="str">
            <v>NO RFI</v>
          </cell>
          <cell r="K1803">
            <v>46069</v>
          </cell>
        </row>
        <row r="1804">
          <cell r="B1804" t="str">
            <v>EXP_RancoTDDQ22026_291</v>
          </cell>
          <cell r="C1804" t="str">
            <v>0135276_LM_Arizona</v>
          </cell>
          <cell r="D1804" t="str">
            <v>M0854</v>
          </cell>
          <cell r="E1804" t="str">
            <v>RANCO TDD 2026</v>
          </cell>
          <cell r="F1804" t="str">
            <v>Expansiones</v>
          </cell>
          <cell r="G1804">
            <v>2026</v>
          </cell>
          <cell r="H1804" t="str">
            <v>Q2</v>
          </cell>
          <cell r="I1804" t="str">
            <v>Jason olivos</v>
          </cell>
          <cell r="J1804" t="str">
            <v>NO RFI</v>
          </cell>
          <cell r="K1804">
            <v>46069</v>
          </cell>
        </row>
        <row r="1805">
          <cell r="B1805" t="str">
            <v>EXP_RancoTDDQ22026_292</v>
          </cell>
          <cell r="C1805" t="str">
            <v>0130289_LM_Castro_Castro</v>
          </cell>
          <cell r="D1805" t="str">
            <v>M0854</v>
          </cell>
          <cell r="E1805" t="str">
            <v>RANCO TDD 2026</v>
          </cell>
          <cell r="F1805" t="str">
            <v>Expansiones</v>
          </cell>
          <cell r="G1805">
            <v>2026</v>
          </cell>
          <cell r="H1805" t="str">
            <v>Q2</v>
          </cell>
          <cell r="I1805" t="str">
            <v>Jason olivos</v>
          </cell>
          <cell r="J1805" t="str">
            <v>NO RFI</v>
          </cell>
          <cell r="K1805">
            <v>46069</v>
          </cell>
        </row>
        <row r="1806">
          <cell r="B1806" t="str">
            <v>EXP_RancoTDDQ22026_293</v>
          </cell>
          <cell r="C1806" t="str">
            <v>0135460_LM_Las_Poncianas_De_Smp</v>
          </cell>
          <cell r="D1806" t="str">
            <v>M0854</v>
          </cell>
          <cell r="E1806" t="str">
            <v>RANCO TDD 2026</v>
          </cell>
          <cell r="F1806" t="str">
            <v>Expansiones</v>
          </cell>
          <cell r="G1806">
            <v>2026</v>
          </cell>
          <cell r="H1806" t="str">
            <v>Q2</v>
          </cell>
          <cell r="I1806" t="str">
            <v>Jason olivos</v>
          </cell>
          <cell r="J1806" t="str">
            <v>NO RFI</v>
          </cell>
          <cell r="K1806">
            <v>46069</v>
          </cell>
        </row>
        <row r="1807">
          <cell r="B1807" t="str">
            <v>EXP_RancoTDDQ22026_294</v>
          </cell>
          <cell r="C1807" t="str">
            <v>0132943_LM_PS_Industrial_SJL</v>
          </cell>
          <cell r="D1807" t="str">
            <v>M0854</v>
          </cell>
          <cell r="E1807" t="str">
            <v>RANCO TDD 2026</v>
          </cell>
          <cell r="F1807" t="str">
            <v>Expansiones</v>
          </cell>
          <cell r="G1807">
            <v>2026</v>
          </cell>
          <cell r="H1807" t="str">
            <v>Q2</v>
          </cell>
          <cell r="I1807" t="str">
            <v>Jason olivos</v>
          </cell>
          <cell r="J1807" t="str">
            <v>NO RFI</v>
          </cell>
          <cell r="K1807">
            <v>46069</v>
          </cell>
        </row>
        <row r="1808">
          <cell r="B1808" t="str">
            <v>EXP_RancoTDDQ22026_295</v>
          </cell>
          <cell r="C1808" t="str">
            <v>0130122_LM_Huandoy</v>
          </cell>
          <cell r="D1808" t="str">
            <v>M0854</v>
          </cell>
          <cell r="E1808" t="str">
            <v>RANCO TDD 2026</v>
          </cell>
          <cell r="F1808" t="str">
            <v>Expansiones</v>
          </cell>
          <cell r="G1808">
            <v>2026</v>
          </cell>
          <cell r="H1808" t="str">
            <v>Q2</v>
          </cell>
          <cell r="I1808" t="str">
            <v>Jason olivos</v>
          </cell>
          <cell r="J1808" t="str">
            <v>NO RFI</v>
          </cell>
          <cell r="K1808">
            <v>46069</v>
          </cell>
        </row>
        <row r="1809">
          <cell r="B1809" t="str">
            <v>EXP_RancoTDDQ22026_296</v>
          </cell>
          <cell r="C1809" t="str">
            <v>0133988_LM_Sol_Grande</v>
          </cell>
          <cell r="D1809" t="str">
            <v>M0854</v>
          </cell>
          <cell r="E1809" t="str">
            <v>RANCO TDD 2026</v>
          </cell>
          <cell r="F1809" t="str">
            <v>Expansiones</v>
          </cell>
          <cell r="G1809">
            <v>2026</v>
          </cell>
          <cell r="H1809" t="str">
            <v>Q2</v>
          </cell>
          <cell r="I1809" t="str">
            <v>Jason olivos</v>
          </cell>
          <cell r="J1809" t="str">
            <v>NO RFI</v>
          </cell>
          <cell r="K1809">
            <v>46069</v>
          </cell>
        </row>
        <row r="1810">
          <cell r="B1810" t="str">
            <v>EXP_RancoTDDQ22026_297</v>
          </cell>
          <cell r="C1810" t="str">
            <v>0133991_LM_Los_Duraznos</v>
          </cell>
          <cell r="D1810" t="str">
            <v>M0854</v>
          </cell>
          <cell r="E1810" t="str">
            <v>RANCO TDD 2026</v>
          </cell>
          <cell r="F1810" t="str">
            <v>Expansiones</v>
          </cell>
          <cell r="G1810">
            <v>2026</v>
          </cell>
          <cell r="H1810" t="str">
            <v>Q2</v>
          </cell>
          <cell r="I1810" t="str">
            <v>Jason olivos</v>
          </cell>
          <cell r="J1810" t="str">
            <v>NO RFI</v>
          </cell>
          <cell r="K1810">
            <v>46069</v>
          </cell>
        </row>
        <row r="1811">
          <cell r="B1811" t="str">
            <v>EXP_RancoTDDQ22026_298</v>
          </cell>
          <cell r="C1811" t="str">
            <v>0130452_LM_Av_Del_Parque</v>
          </cell>
          <cell r="D1811" t="str">
            <v>M0854</v>
          </cell>
          <cell r="E1811" t="str">
            <v>RANCO TDD 2026</v>
          </cell>
          <cell r="F1811" t="str">
            <v>Expansiones</v>
          </cell>
          <cell r="G1811">
            <v>2026</v>
          </cell>
          <cell r="H1811" t="str">
            <v>Q2</v>
          </cell>
          <cell r="I1811" t="str">
            <v>Jason olivos</v>
          </cell>
          <cell r="J1811" t="str">
            <v>NO RFI</v>
          </cell>
          <cell r="K1811">
            <v>46069</v>
          </cell>
        </row>
        <row r="1812">
          <cell r="B1812" t="str">
            <v>EXP_RancoTDDQ22026_299</v>
          </cell>
          <cell r="C1812" t="str">
            <v>0136097_LM_Santa_Lucia_2</v>
          </cell>
          <cell r="D1812" t="str">
            <v>M0854</v>
          </cell>
          <cell r="E1812" t="str">
            <v>RANCO TDD 2026</v>
          </cell>
          <cell r="F1812" t="str">
            <v>Expansiones</v>
          </cell>
          <cell r="G1812">
            <v>2026</v>
          </cell>
          <cell r="H1812" t="str">
            <v>Q2</v>
          </cell>
          <cell r="I1812" t="str">
            <v>Jason olivos</v>
          </cell>
          <cell r="J1812" t="str">
            <v>NO RFI</v>
          </cell>
          <cell r="K1812">
            <v>46069</v>
          </cell>
        </row>
        <row r="1813">
          <cell r="B1813" t="str">
            <v>EXP_RancoTDDQ22026_300</v>
          </cell>
          <cell r="C1813" t="str">
            <v>0133240_LM_PS_Carpa_Champi</v>
          </cell>
          <cell r="D1813" t="str">
            <v>M0854</v>
          </cell>
          <cell r="E1813" t="str">
            <v>RANCO TDD 2026</v>
          </cell>
          <cell r="F1813" t="str">
            <v>Expansiones</v>
          </cell>
          <cell r="G1813">
            <v>2026</v>
          </cell>
          <cell r="H1813" t="str">
            <v>Q2</v>
          </cell>
          <cell r="I1813" t="str">
            <v>Jason olivos</v>
          </cell>
          <cell r="J1813" t="str">
            <v>NO RFI</v>
          </cell>
          <cell r="K1813">
            <v>46069</v>
          </cell>
        </row>
        <row r="1814">
          <cell r="B1814" t="str">
            <v>EXP_RancoTDDQ22026_301</v>
          </cell>
          <cell r="C1814" t="str">
            <v>0135662_LM_Tahuantinsuyo</v>
          </cell>
          <cell r="D1814" t="str">
            <v>M0854</v>
          </cell>
          <cell r="E1814" t="str">
            <v>RANCO TDD 2026</v>
          </cell>
          <cell r="F1814" t="str">
            <v>Expansiones</v>
          </cell>
          <cell r="G1814">
            <v>2026</v>
          </cell>
          <cell r="H1814" t="str">
            <v>Q2</v>
          </cell>
          <cell r="I1814" t="str">
            <v>Jason olivos</v>
          </cell>
          <cell r="J1814" t="str">
            <v>NO RFI</v>
          </cell>
          <cell r="K1814">
            <v>46069</v>
          </cell>
        </row>
        <row r="1815">
          <cell r="B1815" t="str">
            <v>EXP_RancoTDDQ22026_302</v>
          </cell>
          <cell r="C1815" t="str">
            <v>0135744_LM_Quimpac_R1</v>
          </cell>
          <cell r="D1815" t="str">
            <v>M0854</v>
          </cell>
          <cell r="E1815" t="str">
            <v>RANCO TDD 2026</v>
          </cell>
          <cell r="F1815" t="str">
            <v>Expansiones</v>
          </cell>
          <cell r="G1815">
            <v>2026</v>
          </cell>
          <cell r="H1815" t="str">
            <v>Q2</v>
          </cell>
          <cell r="I1815" t="str">
            <v>Jason olivos</v>
          </cell>
          <cell r="J1815" t="str">
            <v>NO RFI</v>
          </cell>
          <cell r="K1815">
            <v>46069</v>
          </cell>
        </row>
        <row r="1816">
          <cell r="B1816" t="str">
            <v>EXP_RancoTDDQ22026_303</v>
          </cell>
          <cell r="C1816" t="str">
            <v>0130478_LM_Tiahuanaco</v>
          </cell>
          <cell r="D1816" t="str">
            <v>M0854</v>
          </cell>
          <cell r="E1816" t="str">
            <v>RANCO TDD 2026</v>
          </cell>
          <cell r="F1816" t="str">
            <v>Expansiones</v>
          </cell>
          <cell r="G1816">
            <v>2026</v>
          </cell>
          <cell r="H1816" t="str">
            <v>Q2</v>
          </cell>
          <cell r="I1816" t="str">
            <v>Jason olivos</v>
          </cell>
          <cell r="J1816" t="str">
            <v>NO RFI</v>
          </cell>
          <cell r="K1816">
            <v>46069</v>
          </cell>
        </row>
        <row r="1817">
          <cell r="B1817" t="str">
            <v>EXP_RancoTDDQ22026_304</v>
          </cell>
          <cell r="C1817" t="str">
            <v>0134774_LM_Rep_De_Polonia</v>
          </cell>
          <cell r="D1817" t="str">
            <v>M0854</v>
          </cell>
          <cell r="E1817" t="str">
            <v>RANCO TDD 2026</v>
          </cell>
          <cell r="F1817" t="str">
            <v>Expansiones</v>
          </cell>
          <cell r="G1817">
            <v>2026</v>
          </cell>
          <cell r="H1817" t="str">
            <v>Q2</v>
          </cell>
          <cell r="I1817" t="str">
            <v>Jason olivos</v>
          </cell>
          <cell r="J1817" t="str">
            <v>NO RFI</v>
          </cell>
          <cell r="K1817">
            <v>46069</v>
          </cell>
        </row>
        <row r="1818">
          <cell r="B1818" t="str">
            <v>EXP_RancoTDDQ22026_305</v>
          </cell>
          <cell r="C1818" t="str">
            <v>0134525_LM_Canta_Callao_Ba</v>
          </cell>
          <cell r="D1818" t="str">
            <v>M0854</v>
          </cell>
          <cell r="E1818" t="str">
            <v>RANCO TDD 2026</v>
          </cell>
          <cell r="F1818" t="str">
            <v>Expansiones</v>
          </cell>
          <cell r="G1818">
            <v>2026</v>
          </cell>
          <cell r="H1818" t="str">
            <v>Q2</v>
          </cell>
          <cell r="I1818" t="str">
            <v>Jason olivos</v>
          </cell>
          <cell r="J1818" t="str">
            <v>NO RFI</v>
          </cell>
          <cell r="K1818">
            <v>46069</v>
          </cell>
        </row>
        <row r="1819">
          <cell r="B1819" t="str">
            <v>EXP_RancoTDDQ22026_306</v>
          </cell>
          <cell r="C1819" t="str">
            <v>0135558_LM_Republica_De_Poloni</v>
          </cell>
          <cell r="D1819" t="str">
            <v>M0854</v>
          </cell>
          <cell r="E1819" t="str">
            <v>RANCO TDD 2026</v>
          </cell>
          <cell r="F1819" t="str">
            <v>Expansiones</v>
          </cell>
          <cell r="G1819">
            <v>2026</v>
          </cell>
          <cell r="H1819" t="str">
            <v>Q2</v>
          </cell>
          <cell r="I1819" t="str">
            <v>Jason olivos</v>
          </cell>
          <cell r="J1819" t="str">
            <v>NO RFI</v>
          </cell>
          <cell r="K1819">
            <v>46069</v>
          </cell>
        </row>
        <row r="1820">
          <cell r="B1820" t="str">
            <v>EXP_RancoTDDQ22026_307</v>
          </cell>
          <cell r="C1820" t="str">
            <v>0132172_LM_Merced_Solidaridad</v>
          </cell>
          <cell r="D1820" t="str">
            <v>M0854</v>
          </cell>
          <cell r="E1820" t="str">
            <v>RANCO TDD 2026</v>
          </cell>
          <cell r="F1820" t="str">
            <v>Expansiones</v>
          </cell>
          <cell r="G1820">
            <v>2026</v>
          </cell>
          <cell r="H1820" t="str">
            <v>Q2</v>
          </cell>
          <cell r="I1820" t="str">
            <v>Jason olivos</v>
          </cell>
          <cell r="J1820" t="str">
            <v>NO RFI</v>
          </cell>
          <cell r="K1820">
            <v>46069</v>
          </cell>
        </row>
        <row r="1821">
          <cell r="B1821" t="str">
            <v>EXP_RancoTDDQ22026_308</v>
          </cell>
          <cell r="C1821" t="str">
            <v>0130339_LM_Refineria_Cajamarquilla</v>
          </cell>
          <cell r="D1821" t="str">
            <v>M0854</v>
          </cell>
          <cell r="E1821" t="str">
            <v>RANCO TDD 2026</v>
          </cell>
          <cell r="F1821" t="str">
            <v>Expansiones</v>
          </cell>
          <cell r="G1821">
            <v>2026</v>
          </cell>
          <cell r="H1821" t="str">
            <v>Q2</v>
          </cell>
          <cell r="I1821" t="str">
            <v>Jason olivos</v>
          </cell>
          <cell r="J1821" t="str">
            <v>NO RFI</v>
          </cell>
          <cell r="K1821">
            <v>46069</v>
          </cell>
        </row>
        <row r="1822">
          <cell r="B1822" t="str">
            <v>EXP_RancoTDDQ22026_309</v>
          </cell>
          <cell r="C1822" t="str">
            <v>0130497_LM_Portales_de_Naranjal</v>
          </cell>
          <cell r="D1822" t="str">
            <v>M0854</v>
          </cell>
          <cell r="E1822" t="str">
            <v>RANCO TDD 2026</v>
          </cell>
          <cell r="F1822" t="str">
            <v>Expansiones</v>
          </cell>
          <cell r="G1822">
            <v>2026</v>
          </cell>
          <cell r="H1822" t="str">
            <v>Q2</v>
          </cell>
          <cell r="I1822" t="str">
            <v>Jason olivos</v>
          </cell>
          <cell r="J1822" t="str">
            <v>NO RFI</v>
          </cell>
          <cell r="K1822">
            <v>46069</v>
          </cell>
        </row>
        <row r="1823">
          <cell r="B1823" t="str">
            <v>EXP_RancoTDDQ22026_310</v>
          </cell>
          <cell r="C1823" t="str">
            <v>0130126_LM_Wiese</v>
          </cell>
          <cell r="D1823" t="str">
            <v>M0854</v>
          </cell>
          <cell r="E1823" t="str">
            <v>RANCO TDD 2026</v>
          </cell>
          <cell r="F1823" t="str">
            <v>Expansiones</v>
          </cell>
          <cell r="G1823">
            <v>2026</v>
          </cell>
          <cell r="H1823" t="str">
            <v>Q2</v>
          </cell>
          <cell r="I1823" t="str">
            <v>Jason olivos</v>
          </cell>
          <cell r="J1823" t="str">
            <v>NO RFI</v>
          </cell>
          <cell r="K1823">
            <v>46069</v>
          </cell>
        </row>
        <row r="1824">
          <cell r="B1824" t="str">
            <v>EXP_RancoTDDQ22026_311</v>
          </cell>
          <cell r="C1824" t="str">
            <v>0130441_LM_Vipol</v>
          </cell>
          <cell r="D1824" t="str">
            <v>M0854</v>
          </cell>
          <cell r="E1824" t="str">
            <v>RANCO TDD 2026</v>
          </cell>
          <cell r="F1824" t="str">
            <v>Expansiones</v>
          </cell>
          <cell r="G1824">
            <v>2026</v>
          </cell>
          <cell r="H1824" t="str">
            <v>Q2</v>
          </cell>
          <cell r="I1824" t="str">
            <v>Jason olivos</v>
          </cell>
          <cell r="J1824" t="str">
            <v>NO RFI</v>
          </cell>
          <cell r="K1824">
            <v>46069</v>
          </cell>
        </row>
        <row r="1825">
          <cell r="B1825" t="str">
            <v>EXP_RancoTDDQ22026_312</v>
          </cell>
          <cell r="C1825" t="str">
            <v>0135345_LM_Buena_Vista_Callao</v>
          </cell>
          <cell r="D1825" t="str">
            <v>M0854</v>
          </cell>
          <cell r="E1825" t="str">
            <v>RANCO TDD 2026</v>
          </cell>
          <cell r="F1825" t="str">
            <v>Expansiones</v>
          </cell>
          <cell r="G1825">
            <v>2026</v>
          </cell>
          <cell r="H1825" t="str">
            <v>Q2</v>
          </cell>
          <cell r="I1825" t="str">
            <v>Jason olivos</v>
          </cell>
          <cell r="J1825" t="str">
            <v>NO RFI</v>
          </cell>
          <cell r="K1825">
            <v>46069</v>
          </cell>
        </row>
        <row r="1826">
          <cell r="B1826" t="str">
            <v>EXP_RancoTDDQ22026_313</v>
          </cell>
          <cell r="C1826" t="str">
            <v>0135658_LM_Balandra</v>
          </cell>
          <cell r="D1826" t="str">
            <v>M0854</v>
          </cell>
          <cell r="E1826" t="str">
            <v>RANCO TDD 2026</v>
          </cell>
          <cell r="F1826" t="str">
            <v>Expansiones</v>
          </cell>
          <cell r="G1826">
            <v>2026</v>
          </cell>
          <cell r="H1826" t="str">
            <v>Q2</v>
          </cell>
          <cell r="I1826" t="str">
            <v>Jason olivos</v>
          </cell>
          <cell r="J1826" t="str">
            <v>NO RFI</v>
          </cell>
          <cell r="K1826">
            <v>46069</v>
          </cell>
        </row>
        <row r="1827">
          <cell r="B1827" t="str">
            <v>EXP_RancoTDDQ22026_314</v>
          </cell>
          <cell r="C1827" t="str">
            <v>0135553_LM_Canteras</v>
          </cell>
          <cell r="D1827" t="str">
            <v>M0854</v>
          </cell>
          <cell r="E1827" t="str">
            <v>RANCO TDD 2026</v>
          </cell>
          <cell r="F1827" t="str">
            <v>Expansiones</v>
          </cell>
          <cell r="G1827">
            <v>2026</v>
          </cell>
          <cell r="H1827" t="str">
            <v>Q2</v>
          </cell>
          <cell r="I1827" t="str">
            <v>Jason olivos</v>
          </cell>
          <cell r="J1827" t="str">
            <v>NO RFI</v>
          </cell>
          <cell r="K1827">
            <v>46069</v>
          </cell>
        </row>
        <row r="1828">
          <cell r="B1828" t="str">
            <v>EXP_RancoTDDQ22026_315</v>
          </cell>
          <cell r="C1828" t="str">
            <v>0135411_LM_Mega_80</v>
          </cell>
          <cell r="D1828" t="str">
            <v>M0854</v>
          </cell>
          <cell r="E1828" t="str">
            <v>RANCO TDD 2026</v>
          </cell>
          <cell r="F1828" t="str">
            <v>Expansiones</v>
          </cell>
          <cell r="G1828">
            <v>2026</v>
          </cell>
          <cell r="H1828" t="str">
            <v>Q2</v>
          </cell>
          <cell r="I1828" t="str">
            <v>Jason olivos</v>
          </cell>
          <cell r="J1828" t="str">
            <v>NO RFI</v>
          </cell>
          <cell r="K1828">
            <v>46069</v>
          </cell>
        </row>
        <row r="1829">
          <cell r="B1829" t="str">
            <v>EXP_RancoTDDQ22026_316</v>
          </cell>
          <cell r="C1829" t="str">
            <v>0135561_LM_Chuquilbamba</v>
          </cell>
          <cell r="D1829" t="str">
            <v>M0854</v>
          </cell>
          <cell r="E1829" t="str">
            <v>RANCO TDD 2026</v>
          </cell>
          <cell r="F1829" t="str">
            <v>Expansiones</v>
          </cell>
          <cell r="G1829">
            <v>2026</v>
          </cell>
          <cell r="H1829" t="str">
            <v>Q2</v>
          </cell>
          <cell r="I1829" t="str">
            <v>Jason olivos</v>
          </cell>
          <cell r="J1829" t="str">
            <v>NO RFI</v>
          </cell>
          <cell r="K1829">
            <v>46069</v>
          </cell>
        </row>
        <row r="1830">
          <cell r="B1830" t="str">
            <v>EXP_RancoTDDQ22026_317</v>
          </cell>
          <cell r="C1830" t="str">
            <v>0134495_LM_Krater</v>
          </cell>
          <cell r="D1830" t="str">
            <v>M0854</v>
          </cell>
          <cell r="E1830" t="str">
            <v>RANCO TDD 2026</v>
          </cell>
          <cell r="F1830" t="str">
            <v>Expansiones</v>
          </cell>
          <cell r="G1830">
            <v>2026</v>
          </cell>
          <cell r="H1830" t="str">
            <v>Q2</v>
          </cell>
          <cell r="I1830" t="str">
            <v>Jason olivos</v>
          </cell>
          <cell r="J1830" t="str">
            <v>NO RFI</v>
          </cell>
          <cell r="K1830">
            <v>46069</v>
          </cell>
        </row>
        <row r="1831">
          <cell r="B1831" t="str">
            <v>EXP_RancoTDDQ22026_318</v>
          </cell>
          <cell r="C1831" t="str">
            <v>0134746_LM_Jr_Alvarado</v>
          </cell>
          <cell r="D1831" t="str">
            <v>M0854</v>
          </cell>
          <cell r="E1831" t="str">
            <v>RANCO TDD 2026</v>
          </cell>
          <cell r="F1831" t="str">
            <v>Expansiones</v>
          </cell>
          <cell r="G1831">
            <v>2026</v>
          </cell>
          <cell r="H1831" t="str">
            <v>Q2</v>
          </cell>
          <cell r="I1831" t="str">
            <v>Jason olivos</v>
          </cell>
          <cell r="J1831" t="str">
            <v>NO RFI</v>
          </cell>
          <cell r="K1831">
            <v>46069</v>
          </cell>
        </row>
        <row r="1832">
          <cell r="B1832" t="str">
            <v>EXP_RancoTDDQ22026_319</v>
          </cell>
          <cell r="C1832" t="str">
            <v>0135799_LM_Reina_Los_Cielos</v>
          </cell>
          <cell r="D1832" t="str">
            <v>M0854</v>
          </cell>
          <cell r="E1832" t="str">
            <v>RANCO TDD 2026</v>
          </cell>
          <cell r="F1832" t="str">
            <v>Expansiones</v>
          </cell>
          <cell r="G1832">
            <v>2026</v>
          </cell>
          <cell r="H1832" t="str">
            <v>Q2</v>
          </cell>
          <cell r="I1832" t="str">
            <v>Jason olivos</v>
          </cell>
          <cell r="J1832" t="str">
            <v>NO RFI</v>
          </cell>
          <cell r="K1832">
            <v>46069</v>
          </cell>
        </row>
        <row r="1833">
          <cell r="B1833" t="str">
            <v>EXP_RancoTDDQ22026_320</v>
          </cell>
          <cell r="C1833" t="str">
            <v>0135520_LM_Av_Las_Naciones</v>
          </cell>
          <cell r="D1833" t="str">
            <v>M0854</v>
          </cell>
          <cell r="E1833" t="str">
            <v>RANCO TDD 2026</v>
          </cell>
          <cell r="F1833" t="str">
            <v>Expansiones</v>
          </cell>
          <cell r="G1833">
            <v>2026</v>
          </cell>
          <cell r="H1833" t="str">
            <v>Q2</v>
          </cell>
          <cell r="I1833" t="str">
            <v>Jason olivos</v>
          </cell>
          <cell r="J1833" t="str">
            <v>NO RFI</v>
          </cell>
          <cell r="K1833">
            <v>46069</v>
          </cell>
        </row>
        <row r="1834">
          <cell r="B1834" t="str">
            <v>EXP_RancoTDDQ22026_321</v>
          </cell>
          <cell r="C1834" t="str">
            <v>0130462_LM_Av_Central</v>
          </cell>
          <cell r="D1834" t="str">
            <v>M0854</v>
          </cell>
          <cell r="E1834" t="str">
            <v>RANCO TDD 2026</v>
          </cell>
          <cell r="F1834" t="str">
            <v>Expansiones</v>
          </cell>
          <cell r="G1834">
            <v>2026</v>
          </cell>
          <cell r="H1834" t="str">
            <v>Q2</v>
          </cell>
          <cell r="I1834" t="str">
            <v>Jason olivos</v>
          </cell>
          <cell r="J1834" t="str">
            <v>NO RFI</v>
          </cell>
          <cell r="K1834">
            <v>46069</v>
          </cell>
        </row>
        <row r="1835">
          <cell r="B1835" t="str">
            <v>EXP_RancoTDDQ22026_322</v>
          </cell>
          <cell r="C1835" t="str">
            <v>0135354_LM_Los_Jasmines</v>
          </cell>
          <cell r="D1835" t="str">
            <v>M0854</v>
          </cell>
          <cell r="E1835" t="str">
            <v>RANCO TDD 2026</v>
          </cell>
          <cell r="F1835" t="str">
            <v>Expansiones</v>
          </cell>
          <cell r="G1835">
            <v>2026</v>
          </cell>
          <cell r="H1835" t="str">
            <v>Q2</v>
          </cell>
          <cell r="I1835" t="str">
            <v>Jason olivos</v>
          </cell>
          <cell r="J1835" t="str">
            <v>NO RFI</v>
          </cell>
          <cell r="K1835">
            <v>46069</v>
          </cell>
        </row>
        <row r="1836">
          <cell r="B1836" t="str">
            <v>EXP_RancoTDDQ22026_323</v>
          </cell>
          <cell r="C1836" t="str">
            <v>0130534_LM_Parque_Salpo</v>
          </cell>
          <cell r="D1836" t="str">
            <v>M0854</v>
          </cell>
          <cell r="E1836" t="str">
            <v>RANCO TDD 2026</v>
          </cell>
          <cell r="F1836" t="str">
            <v>Expansiones</v>
          </cell>
          <cell r="G1836">
            <v>2026</v>
          </cell>
          <cell r="H1836" t="str">
            <v>Q2</v>
          </cell>
          <cell r="I1836" t="str">
            <v>Jason olivos</v>
          </cell>
          <cell r="J1836" t="str">
            <v>NO RFI</v>
          </cell>
          <cell r="K1836">
            <v>46069</v>
          </cell>
        </row>
        <row r="1837">
          <cell r="B1837" t="str">
            <v>EXP_RancoTDDQ22026_324</v>
          </cell>
          <cell r="C1837" t="str">
            <v>0135515_LM_Perez_De_Tudela</v>
          </cell>
          <cell r="D1837" t="str">
            <v>M0854</v>
          </cell>
          <cell r="E1837" t="str">
            <v>RANCO TDD 2026</v>
          </cell>
          <cell r="F1837" t="str">
            <v>Expansiones</v>
          </cell>
          <cell r="G1837">
            <v>2026</v>
          </cell>
          <cell r="H1837" t="str">
            <v>Q2</v>
          </cell>
          <cell r="I1837" t="str">
            <v>Jason olivos</v>
          </cell>
          <cell r="J1837" t="str">
            <v>NO RFI</v>
          </cell>
          <cell r="K1837">
            <v>46069</v>
          </cell>
        </row>
        <row r="1838">
          <cell r="B1838" t="str">
            <v>EXP_RancoTDDQ22026_325</v>
          </cell>
          <cell r="C1838" t="str">
            <v>0135449_LM_Zonal_11</v>
          </cell>
          <cell r="D1838" t="str">
            <v>M0854</v>
          </cell>
          <cell r="E1838" t="str">
            <v>RANCO TDD 2026</v>
          </cell>
          <cell r="F1838" t="str">
            <v>Expansiones</v>
          </cell>
          <cell r="G1838">
            <v>2026</v>
          </cell>
          <cell r="H1838" t="str">
            <v>Q2</v>
          </cell>
          <cell r="I1838" t="str">
            <v>Jason olivos</v>
          </cell>
          <cell r="J1838" t="str">
            <v>NO RFI</v>
          </cell>
          <cell r="K1838">
            <v>46069</v>
          </cell>
        </row>
        <row r="1839">
          <cell r="B1839" t="str">
            <v>EXP_RancoTDDQ22026_326</v>
          </cell>
          <cell r="C1839" t="str">
            <v>0135360_LM_Av_Central_Olivos</v>
          </cell>
          <cell r="D1839" t="str">
            <v>M0854</v>
          </cell>
          <cell r="E1839" t="str">
            <v>RANCO TDD 2026</v>
          </cell>
          <cell r="F1839" t="str">
            <v>Expansiones</v>
          </cell>
          <cell r="G1839">
            <v>2026</v>
          </cell>
          <cell r="H1839" t="str">
            <v>Q2</v>
          </cell>
          <cell r="I1839" t="str">
            <v>Jason olivos</v>
          </cell>
          <cell r="J1839" t="str">
            <v>NO RFI</v>
          </cell>
          <cell r="K1839">
            <v>46069</v>
          </cell>
        </row>
        <row r="1840">
          <cell r="B1840" t="str">
            <v>EXP_RancoTDDQ22026_327</v>
          </cell>
          <cell r="C1840" t="str">
            <v>0130180_LM_Las_Vegas</v>
          </cell>
          <cell r="D1840" t="str">
            <v>M0854</v>
          </cell>
          <cell r="E1840" t="str">
            <v>RANCO TDD 2026</v>
          </cell>
          <cell r="F1840" t="str">
            <v>Expansiones</v>
          </cell>
          <cell r="G1840">
            <v>2026</v>
          </cell>
          <cell r="H1840" t="str">
            <v>Q2</v>
          </cell>
          <cell r="I1840" t="str">
            <v>Jason olivos</v>
          </cell>
          <cell r="J1840" t="str">
            <v>NO RFI</v>
          </cell>
          <cell r="K1840">
            <v>46069</v>
          </cell>
        </row>
        <row r="1841">
          <cell r="B1841" t="str">
            <v>EXP_RancoTDDQ22026_328</v>
          </cell>
          <cell r="C1841" t="str">
            <v>0130001_LM_Oquendo</v>
          </cell>
          <cell r="D1841" t="str">
            <v>M0854</v>
          </cell>
          <cell r="E1841" t="str">
            <v>RANCO TDD 2026</v>
          </cell>
          <cell r="F1841" t="str">
            <v>Expansiones</v>
          </cell>
          <cell r="G1841">
            <v>2026</v>
          </cell>
          <cell r="H1841" t="str">
            <v>Q2</v>
          </cell>
          <cell r="I1841" t="str">
            <v>Jason olivos</v>
          </cell>
          <cell r="J1841" t="str">
            <v>NO RFI</v>
          </cell>
          <cell r="K1841">
            <v>46069</v>
          </cell>
        </row>
        <row r="1842">
          <cell r="B1842" t="str">
            <v>EXP_RancoTDDQ22026_329</v>
          </cell>
          <cell r="C1842" t="str">
            <v>0134489_LM_Jesus_Obrero</v>
          </cell>
          <cell r="D1842" t="str">
            <v>M0854</v>
          </cell>
          <cell r="E1842" t="str">
            <v>RANCO TDD 2026</v>
          </cell>
          <cell r="F1842" t="str">
            <v>Expansiones</v>
          </cell>
          <cell r="G1842">
            <v>2026</v>
          </cell>
          <cell r="H1842" t="str">
            <v>Q2</v>
          </cell>
          <cell r="I1842" t="str">
            <v>Jason olivos</v>
          </cell>
          <cell r="J1842" t="str">
            <v>NO RFI</v>
          </cell>
          <cell r="K1842">
            <v>46069</v>
          </cell>
        </row>
        <row r="1843">
          <cell r="B1843" t="str">
            <v>EXP_RancoTDDQ22026_330</v>
          </cell>
          <cell r="C1843" t="str">
            <v>013251048_LM_Almendras_Huascar</v>
          </cell>
          <cell r="D1843" t="str">
            <v>M0854</v>
          </cell>
          <cell r="E1843" t="str">
            <v>RANCO TDD 2026</v>
          </cell>
          <cell r="F1843" t="str">
            <v>Expansiones</v>
          </cell>
          <cell r="G1843">
            <v>2026</v>
          </cell>
          <cell r="H1843" t="str">
            <v>Q2</v>
          </cell>
          <cell r="I1843" t="str">
            <v>Jason olivos</v>
          </cell>
          <cell r="J1843" t="str">
            <v>NO RFI</v>
          </cell>
          <cell r="K1843">
            <v>46069</v>
          </cell>
        </row>
        <row r="1844">
          <cell r="B1844" t="str">
            <v>EXP_RancoTDDQ22026_331</v>
          </cell>
          <cell r="C1844" t="str">
            <v>0135282_LM_Mercado_San_Diego</v>
          </cell>
          <cell r="D1844" t="str">
            <v>M0854</v>
          </cell>
          <cell r="E1844" t="str">
            <v>RANCO TDD 2026</v>
          </cell>
          <cell r="F1844" t="str">
            <v>Expansiones</v>
          </cell>
          <cell r="G1844">
            <v>2026</v>
          </cell>
          <cell r="H1844" t="str">
            <v>Q2</v>
          </cell>
          <cell r="I1844" t="str">
            <v>Jason olivos</v>
          </cell>
          <cell r="J1844" t="str">
            <v>NO RFI</v>
          </cell>
          <cell r="K1844">
            <v>46069</v>
          </cell>
        </row>
        <row r="1845">
          <cell r="B1845" t="str">
            <v>EXP_RancoTDDQ22026_332</v>
          </cell>
          <cell r="C1845" t="str">
            <v>0135555_LM_Somos_Libres</v>
          </cell>
          <cell r="D1845" t="str">
            <v>M0854</v>
          </cell>
          <cell r="E1845" t="str">
            <v>RANCO TDD 2026</v>
          </cell>
          <cell r="F1845" t="str">
            <v>Expansiones</v>
          </cell>
          <cell r="G1845">
            <v>2026</v>
          </cell>
          <cell r="H1845" t="str">
            <v>Q2</v>
          </cell>
          <cell r="I1845" t="str">
            <v>Jason olivos</v>
          </cell>
          <cell r="J1845" t="str">
            <v>NO RFI</v>
          </cell>
          <cell r="K1845">
            <v>46069</v>
          </cell>
        </row>
        <row r="1846">
          <cell r="B1846" t="str">
            <v>EXP_RancoTDDQ22026_333</v>
          </cell>
          <cell r="C1846" t="str">
            <v>0135550_LM_Ciudad_De_Construct</v>
          </cell>
          <cell r="D1846" t="str">
            <v>M0854</v>
          </cell>
          <cell r="E1846" t="str">
            <v>RANCO TDD 2026</v>
          </cell>
          <cell r="F1846" t="str">
            <v>Expansiones</v>
          </cell>
          <cell r="G1846">
            <v>2026</v>
          </cell>
          <cell r="H1846" t="str">
            <v>Q2</v>
          </cell>
          <cell r="I1846" t="str">
            <v>Jason olivos</v>
          </cell>
          <cell r="J1846" t="str">
            <v>NO RFI</v>
          </cell>
          <cell r="K1846">
            <v>46069</v>
          </cell>
        </row>
        <row r="1847">
          <cell r="B1847" t="str">
            <v>EXP_RancoTDDQ22026_334</v>
          </cell>
          <cell r="C1847" t="str">
            <v>0135521_LM_Prolongaciones</v>
          </cell>
          <cell r="D1847" t="str">
            <v>M0854</v>
          </cell>
          <cell r="E1847" t="str">
            <v>RANCO TDD 2026</v>
          </cell>
          <cell r="F1847" t="str">
            <v>Expansiones</v>
          </cell>
          <cell r="G1847">
            <v>2026</v>
          </cell>
          <cell r="H1847" t="str">
            <v>Q2</v>
          </cell>
          <cell r="I1847" t="str">
            <v>Jason olivos</v>
          </cell>
          <cell r="J1847" t="str">
            <v>NO RFI</v>
          </cell>
          <cell r="K1847">
            <v>46069</v>
          </cell>
        </row>
        <row r="1848">
          <cell r="B1848" t="str">
            <v>EXP_RancoTDDQ22026_335</v>
          </cell>
          <cell r="C1848" t="str">
            <v>0133087_JU_Huayucachi</v>
          </cell>
          <cell r="D1848" t="str">
            <v>M0854</v>
          </cell>
          <cell r="E1848" t="str">
            <v>RANCO TDD 2026</v>
          </cell>
          <cell r="F1848" t="str">
            <v>Expansiones</v>
          </cell>
          <cell r="G1848">
            <v>2026</v>
          </cell>
          <cell r="H1848" t="str">
            <v>Q2</v>
          </cell>
          <cell r="I1848" t="str">
            <v>Jason olivos</v>
          </cell>
          <cell r="J1848" t="str">
            <v>NO RFI</v>
          </cell>
          <cell r="K1848">
            <v>46069</v>
          </cell>
        </row>
        <row r="1849">
          <cell r="B1849" t="str">
            <v>EXP_RancoTDDQ22026_336</v>
          </cell>
          <cell r="C1849" t="str">
            <v>0135679_LM_Pro</v>
          </cell>
          <cell r="D1849" t="str">
            <v>M0854</v>
          </cell>
          <cell r="E1849" t="str">
            <v>RANCO TDD 2026</v>
          </cell>
          <cell r="F1849" t="str">
            <v>Expansiones</v>
          </cell>
          <cell r="G1849">
            <v>2026</v>
          </cell>
          <cell r="H1849" t="str">
            <v>Q2</v>
          </cell>
          <cell r="I1849" t="str">
            <v>Jason olivos</v>
          </cell>
          <cell r="J1849" t="str">
            <v>NO RFI</v>
          </cell>
          <cell r="K1849">
            <v>46069</v>
          </cell>
        </row>
        <row r="1850">
          <cell r="B1850" t="str">
            <v>EXP_RancoTDDQ22026_337</v>
          </cell>
          <cell r="C1850" t="str">
            <v>0135512_LM_Mariscal_Caceres</v>
          </cell>
          <cell r="D1850" t="str">
            <v>M0854</v>
          </cell>
          <cell r="E1850" t="str">
            <v>RANCO TDD 2026</v>
          </cell>
          <cell r="F1850" t="str">
            <v>Expansiones</v>
          </cell>
          <cell r="G1850">
            <v>2026</v>
          </cell>
          <cell r="H1850" t="str">
            <v>Q2</v>
          </cell>
          <cell r="I1850" t="str">
            <v>Jason olivos</v>
          </cell>
          <cell r="J1850" t="str">
            <v>NO RFI</v>
          </cell>
          <cell r="K1850">
            <v>46069</v>
          </cell>
        </row>
        <row r="1851">
          <cell r="B1851" t="str">
            <v>EXP_RancoTDDQ22026_338</v>
          </cell>
          <cell r="C1851" t="str">
            <v>0135452_LM_Unger</v>
          </cell>
          <cell r="D1851" t="str">
            <v>M0854</v>
          </cell>
          <cell r="E1851" t="str">
            <v>RANCO TDD 2026</v>
          </cell>
          <cell r="F1851" t="str">
            <v>Expansiones</v>
          </cell>
          <cell r="G1851">
            <v>2026</v>
          </cell>
          <cell r="H1851" t="str">
            <v>Q2</v>
          </cell>
          <cell r="I1851" t="str">
            <v>Jason olivos</v>
          </cell>
          <cell r="J1851" t="str">
            <v>NO RFI</v>
          </cell>
          <cell r="K1851">
            <v>46069</v>
          </cell>
        </row>
        <row r="1852">
          <cell r="B1852" t="str">
            <v>EXP_RancoTDDQ22026_339</v>
          </cell>
          <cell r="C1852" t="str">
            <v>0130260_LM_Inmaculada_Concepcion</v>
          </cell>
          <cell r="D1852" t="str">
            <v>M0854</v>
          </cell>
          <cell r="E1852" t="str">
            <v>RANCO TDD 2026</v>
          </cell>
          <cell r="F1852" t="str">
            <v>Expansiones</v>
          </cell>
          <cell r="G1852">
            <v>2026</v>
          </cell>
          <cell r="H1852" t="str">
            <v>Q2</v>
          </cell>
          <cell r="I1852" t="str">
            <v>Jason olivos</v>
          </cell>
          <cell r="J1852" t="str">
            <v>NO RFI</v>
          </cell>
          <cell r="K1852">
            <v>46069</v>
          </cell>
        </row>
        <row r="1853">
          <cell r="B1853" t="str">
            <v>EXP_RancoTDDQ22026_340</v>
          </cell>
          <cell r="C1853" t="str">
            <v>013252429_LM_22_de_Agosto_R1</v>
          </cell>
          <cell r="D1853" t="str">
            <v>M0854</v>
          </cell>
          <cell r="E1853" t="str">
            <v>RANCO TDD 2026</v>
          </cell>
          <cell r="F1853" t="str">
            <v>Expansiones</v>
          </cell>
          <cell r="G1853">
            <v>2026</v>
          </cell>
          <cell r="H1853" t="str">
            <v>Q2</v>
          </cell>
          <cell r="I1853" t="str">
            <v>Jason olivos</v>
          </cell>
          <cell r="J1853" t="str">
            <v>NO RFI</v>
          </cell>
          <cell r="K1853">
            <v>46069</v>
          </cell>
        </row>
        <row r="1854">
          <cell r="B1854" t="str">
            <v>EXP_RancoTDDQ22026_341</v>
          </cell>
          <cell r="C1854" t="str">
            <v>0135034_LM_Regatas_Cantuta</v>
          </cell>
          <cell r="D1854" t="str">
            <v>M0854</v>
          </cell>
          <cell r="E1854" t="str">
            <v>RANCO TDD 2026</v>
          </cell>
          <cell r="F1854" t="str">
            <v>Expansiones</v>
          </cell>
          <cell r="G1854">
            <v>2026</v>
          </cell>
          <cell r="H1854" t="str">
            <v>Q2</v>
          </cell>
          <cell r="I1854" t="str">
            <v>Jason olivos</v>
          </cell>
          <cell r="J1854" t="str">
            <v>NO RFI</v>
          </cell>
          <cell r="K1854">
            <v>46069</v>
          </cell>
        </row>
        <row r="1855">
          <cell r="B1855" t="str">
            <v>EXP_RancoTDDQ22026_342</v>
          </cell>
          <cell r="C1855" t="str">
            <v>0135101_LM_PS_Jose_Valverde</v>
          </cell>
          <cell r="D1855" t="str">
            <v>M0854</v>
          </cell>
          <cell r="E1855" t="str">
            <v>RANCO TDD 2026</v>
          </cell>
          <cell r="F1855" t="str">
            <v>Expansiones</v>
          </cell>
          <cell r="G1855">
            <v>2026</v>
          </cell>
          <cell r="H1855" t="str">
            <v>Q2</v>
          </cell>
          <cell r="I1855" t="str">
            <v>Jason olivos</v>
          </cell>
          <cell r="J1855" t="str">
            <v>NO RFI</v>
          </cell>
          <cell r="K1855">
            <v>46069</v>
          </cell>
        </row>
        <row r="1856">
          <cell r="B1856" t="str">
            <v>EXP_RancoTDDQ22026_343</v>
          </cell>
          <cell r="C1856" t="str">
            <v>0130520_LM_11_de_Octubre</v>
          </cell>
          <cell r="D1856" t="str">
            <v>M0854</v>
          </cell>
          <cell r="E1856" t="str">
            <v>RANCO TDD 2026</v>
          </cell>
          <cell r="F1856" t="str">
            <v>Expansiones</v>
          </cell>
          <cell r="G1856">
            <v>2026</v>
          </cell>
          <cell r="H1856" t="str">
            <v>Q2</v>
          </cell>
          <cell r="I1856" t="str">
            <v>Jason olivos</v>
          </cell>
          <cell r="J1856" t="str">
            <v>NO RFI</v>
          </cell>
          <cell r="K1856">
            <v>46069</v>
          </cell>
        </row>
        <row r="1857">
          <cell r="B1857" t="str">
            <v>EXP_RancoTDDQ22026_344</v>
          </cell>
          <cell r="C1857" t="str">
            <v>0135307_LM_Central_Ventanilla</v>
          </cell>
          <cell r="D1857" t="str">
            <v>M0854</v>
          </cell>
          <cell r="E1857" t="str">
            <v>RANCO TDD 2026</v>
          </cell>
          <cell r="F1857" t="str">
            <v>Expansiones</v>
          </cell>
          <cell r="G1857">
            <v>2026</v>
          </cell>
          <cell r="H1857" t="str">
            <v>Q2</v>
          </cell>
          <cell r="I1857" t="str">
            <v>Jason olivos</v>
          </cell>
          <cell r="J1857" t="str">
            <v>NO RFI</v>
          </cell>
          <cell r="K1857">
            <v>46069</v>
          </cell>
        </row>
        <row r="1858">
          <cell r="B1858" t="str">
            <v>EXP_RancoTDDQ22026_345</v>
          </cell>
          <cell r="C1858" t="str">
            <v>0130519_LM_Montenegro</v>
          </cell>
          <cell r="D1858" t="str">
            <v>M0854</v>
          </cell>
          <cell r="E1858" t="str">
            <v>RANCO TDD 2026</v>
          </cell>
          <cell r="F1858" t="str">
            <v>Expansiones</v>
          </cell>
          <cell r="G1858">
            <v>2026</v>
          </cell>
          <cell r="H1858" t="str">
            <v>Q2</v>
          </cell>
          <cell r="I1858" t="str">
            <v>Jason olivos</v>
          </cell>
          <cell r="J1858" t="str">
            <v>NO RFI</v>
          </cell>
          <cell r="K1858">
            <v>46069</v>
          </cell>
        </row>
        <row r="1859">
          <cell r="B1859" t="str">
            <v>EXP_RancoTDDQ22026_346</v>
          </cell>
          <cell r="C1859" t="str">
            <v>0134666_LM_Jae_Infantas</v>
          </cell>
          <cell r="D1859" t="str">
            <v>M0854</v>
          </cell>
          <cell r="E1859" t="str">
            <v>RANCO TDD 2026</v>
          </cell>
          <cell r="F1859" t="str">
            <v>Expansiones</v>
          </cell>
          <cell r="G1859">
            <v>2026</v>
          </cell>
          <cell r="H1859" t="str">
            <v>Q2</v>
          </cell>
          <cell r="I1859" t="str">
            <v>Jason olivos</v>
          </cell>
          <cell r="J1859" t="str">
            <v>NO RFI</v>
          </cell>
          <cell r="K1859">
            <v>46069</v>
          </cell>
        </row>
        <row r="1860">
          <cell r="B1860" t="str">
            <v>EXP_RancoTDDQ22026_347</v>
          </cell>
          <cell r="C1860" t="str">
            <v>0132404_LM_Barbieri</v>
          </cell>
          <cell r="D1860" t="str">
            <v>M0854</v>
          </cell>
          <cell r="E1860" t="str">
            <v>RANCO TDD 2026</v>
          </cell>
          <cell r="F1860" t="str">
            <v>Expansiones</v>
          </cell>
          <cell r="G1860">
            <v>2026</v>
          </cell>
          <cell r="H1860" t="str">
            <v>Q2</v>
          </cell>
          <cell r="I1860" t="str">
            <v>Jason olivos</v>
          </cell>
          <cell r="J1860" t="str">
            <v>NO RFI</v>
          </cell>
          <cell r="K1860">
            <v>46069</v>
          </cell>
        </row>
        <row r="1861">
          <cell r="B1861" t="str">
            <v>EXP_RancoTDDQ22026_348</v>
          </cell>
          <cell r="C1861" t="str">
            <v>0133459_LM_PS_Eduardo_Correa</v>
          </cell>
          <cell r="D1861" t="str">
            <v>M0854</v>
          </cell>
          <cell r="E1861" t="str">
            <v>RANCO TDD 2026</v>
          </cell>
          <cell r="F1861" t="str">
            <v>Expansiones</v>
          </cell>
          <cell r="G1861">
            <v>2026</v>
          </cell>
          <cell r="H1861" t="str">
            <v>Q2</v>
          </cell>
          <cell r="I1861" t="str">
            <v>Jason olivos</v>
          </cell>
          <cell r="J1861" t="str">
            <v>NO RFI</v>
          </cell>
          <cell r="K1861">
            <v>46069</v>
          </cell>
        </row>
        <row r="1862">
          <cell r="B1862" t="str">
            <v>EXP_RancoTDDQ22026_349</v>
          </cell>
          <cell r="C1862" t="str">
            <v>0131423_LM_Cruz_De_Motupe</v>
          </cell>
          <cell r="D1862" t="str">
            <v>M0854</v>
          </cell>
          <cell r="E1862" t="str">
            <v>RANCO TDD 2026</v>
          </cell>
          <cell r="F1862" t="str">
            <v>Expansiones</v>
          </cell>
          <cell r="G1862">
            <v>2026</v>
          </cell>
          <cell r="H1862" t="str">
            <v>Q2</v>
          </cell>
          <cell r="I1862" t="str">
            <v>Jason olivos</v>
          </cell>
          <cell r="J1862" t="str">
            <v>NO RFI</v>
          </cell>
          <cell r="K1862">
            <v>46069</v>
          </cell>
        </row>
        <row r="1863">
          <cell r="B1863" t="str">
            <v>EXP_RancoTDDQ22026_350</v>
          </cell>
          <cell r="C1863" t="str">
            <v>0133396_LM_PS_Nuflez_Vega</v>
          </cell>
          <cell r="D1863" t="str">
            <v>M0854</v>
          </cell>
          <cell r="E1863" t="str">
            <v>RANCO TDD 2026</v>
          </cell>
          <cell r="F1863" t="str">
            <v>Expansiones</v>
          </cell>
          <cell r="G1863">
            <v>2026</v>
          </cell>
          <cell r="H1863" t="str">
            <v>Q2</v>
          </cell>
          <cell r="I1863" t="str">
            <v>Jason olivos</v>
          </cell>
          <cell r="J1863" t="str">
            <v>NO RFI</v>
          </cell>
          <cell r="K1863">
            <v>46069</v>
          </cell>
        </row>
        <row r="1864">
          <cell r="B1864" t="str">
            <v>EXP_RancoTDDQ22026_351</v>
          </cell>
          <cell r="C1864" t="str">
            <v>0135367_LM_Unicachi</v>
          </cell>
          <cell r="D1864" t="str">
            <v>M0854</v>
          </cell>
          <cell r="E1864" t="str">
            <v>RANCO TDD 2026</v>
          </cell>
          <cell r="F1864" t="str">
            <v>Expansiones</v>
          </cell>
          <cell r="G1864">
            <v>2026</v>
          </cell>
          <cell r="H1864" t="str">
            <v>Q2</v>
          </cell>
          <cell r="I1864" t="str">
            <v>Jason olivos</v>
          </cell>
          <cell r="J1864" t="str">
            <v>NO RFI</v>
          </cell>
          <cell r="K1864">
            <v>46069</v>
          </cell>
        </row>
        <row r="1865">
          <cell r="B1865" t="str">
            <v>EXP_RancoTDDQ22026_352</v>
          </cell>
          <cell r="C1865" t="str">
            <v>0135678_LM_Cordialidad</v>
          </cell>
          <cell r="D1865" t="str">
            <v>M0854</v>
          </cell>
          <cell r="E1865" t="str">
            <v>RANCO TDD 2026</v>
          </cell>
          <cell r="F1865" t="str">
            <v>Expansiones</v>
          </cell>
          <cell r="G1865">
            <v>2026</v>
          </cell>
          <cell r="H1865" t="str">
            <v>Q2</v>
          </cell>
          <cell r="I1865" t="str">
            <v>Jason olivos</v>
          </cell>
          <cell r="J1865" t="str">
            <v>NO RFI</v>
          </cell>
          <cell r="K1865">
            <v>46069</v>
          </cell>
        </row>
        <row r="1866">
          <cell r="B1866" t="str">
            <v>EXP_RancoTDDQ22026_353</v>
          </cell>
          <cell r="C1866" t="str">
            <v>0130225_LM_El_Retablo</v>
          </cell>
          <cell r="D1866" t="str">
            <v>M0854</v>
          </cell>
          <cell r="E1866" t="str">
            <v>RANCO TDD 2026</v>
          </cell>
          <cell r="F1866" t="str">
            <v>Expansiones</v>
          </cell>
          <cell r="G1866">
            <v>2026</v>
          </cell>
          <cell r="H1866" t="str">
            <v>Q2</v>
          </cell>
          <cell r="I1866" t="str">
            <v>Jason olivos</v>
          </cell>
          <cell r="J1866" t="str">
            <v>NO RFI</v>
          </cell>
          <cell r="K1866">
            <v>46069</v>
          </cell>
        </row>
        <row r="1867">
          <cell r="B1867" t="str">
            <v>EXP_RancoTDDQ22026_354</v>
          </cell>
          <cell r="C1867" t="str">
            <v>0134004_LM_Mar_de_Timor</v>
          </cell>
          <cell r="D1867" t="str">
            <v>M0854</v>
          </cell>
          <cell r="E1867" t="str">
            <v>RANCO TDD 2026</v>
          </cell>
          <cell r="F1867" t="str">
            <v>Expansiones</v>
          </cell>
          <cell r="G1867">
            <v>2026</v>
          </cell>
          <cell r="H1867" t="str">
            <v>Q2</v>
          </cell>
          <cell r="I1867" t="str">
            <v>Jason olivos</v>
          </cell>
          <cell r="J1867" t="str">
            <v>NO RFI</v>
          </cell>
          <cell r="K1867">
            <v>46069</v>
          </cell>
        </row>
        <row r="1868">
          <cell r="B1868" t="str">
            <v>EXP_RancoTDDQ22026_355</v>
          </cell>
          <cell r="C1868" t="str">
            <v>0135513_LM_Enrique_Montenegro</v>
          </cell>
          <cell r="D1868" t="str">
            <v>M0854</v>
          </cell>
          <cell r="E1868" t="str">
            <v>RANCO TDD 2026</v>
          </cell>
          <cell r="F1868" t="str">
            <v>Expansiones</v>
          </cell>
          <cell r="G1868">
            <v>2026</v>
          </cell>
          <cell r="H1868" t="str">
            <v>Q2</v>
          </cell>
          <cell r="I1868" t="str">
            <v>Jason olivos</v>
          </cell>
          <cell r="J1868" t="str">
            <v>NO RFI</v>
          </cell>
          <cell r="K1868">
            <v>46069</v>
          </cell>
        </row>
        <row r="1869">
          <cell r="B1869" t="str">
            <v>EXP_RancoTDDQ22026_356</v>
          </cell>
          <cell r="C1869" t="str">
            <v>0135456_LM_Castillo_Del_Rey</v>
          </cell>
          <cell r="D1869" t="str">
            <v>M0854</v>
          </cell>
          <cell r="E1869" t="str">
            <v>RANCO TDD 2026</v>
          </cell>
          <cell r="F1869" t="str">
            <v>Expansiones</v>
          </cell>
          <cell r="G1869">
            <v>2026</v>
          </cell>
          <cell r="H1869" t="str">
            <v>Q2</v>
          </cell>
          <cell r="I1869" t="str">
            <v>Jason olivos</v>
          </cell>
          <cell r="J1869" t="str">
            <v>NO RFI</v>
          </cell>
          <cell r="K1869">
            <v>46069</v>
          </cell>
        </row>
        <row r="1870">
          <cell r="B1870" t="str">
            <v>EXP_RancoTDDQ22026_357</v>
          </cell>
          <cell r="C1870" t="str">
            <v>013254046_LM_LibertadChosica</v>
          </cell>
          <cell r="D1870" t="str">
            <v>M0854</v>
          </cell>
          <cell r="E1870" t="str">
            <v>RANCO TDD 2026</v>
          </cell>
          <cell r="F1870" t="str">
            <v>Expansiones</v>
          </cell>
          <cell r="G1870">
            <v>2026</v>
          </cell>
          <cell r="H1870" t="str">
            <v>Q2</v>
          </cell>
          <cell r="I1870" t="str">
            <v>Jason olivos</v>
          </cell>
          <cell r="J1870" t="str">
            <v>NO RFI</v>
          </cell>
          <cell r="K1870">
            <v>46069</v>
          </cell>
        </row>
        <row r="1871">
          <cell r="B1871" t="str">
            <v>EXP_RancoTDDQ22026_358</v>
          </cell>
          <cell r="C1871" t="str">
            <v>0135514_LM_Jose_Carlos_Mariate</v>
          </cell>
          <cell r="D1871" t="str">
            <v>M0854</v>
          </cell>
          <cell r="E1871" t="str">
            <v>RANCO TDD 2026</v>
          </cell>
          <cell r="F1871" t="str">
            <v>Expansiones</v>
          </cell>
          <cell r="G1871">
            <v>2026</v>
          </cell>
          <cell r="H1871" t="str">
            <v>Q2</v>
          </cell>
          <cell r="I1871" t="str">
            <v>Jason olivos</v>
          </cell>
          <cell r="J1871" t="str">
            <v>NO RFI</v>
          </cell>
          <cell r="K1871">
            <v>46069</v>
          </cell>
        </row>
        <row r="1872">
          <cell r="B1872" t="str">
            <v>EXP_RancoTDDQ22026_359</v>
          </cell>
          <cell r="C1872" t="str">
            <v>0134192_LM_Segunda_Pro</v>
          </cell>
          <cell r="D1872" t="str">
            <v>M0854</v>
          </cell>
          <cell r="E1872" t="str">
            <v>RANCO TDD 2026</v>
          </cell>
          <cell r="F1872" t="str">
            <v>Expansiones</v>
          </cell>
          <cell r="G1872">
            <v>2026</v>
          </cell>
          <cell r="H1872" t="str">
            <v>Q2</v>
          </cell>
          <cell r="I1872" t="str">
            <v>Jason olivos</v>
          </cell>
          <cell r="J1872" t="str">
            <v>NO RFI</v>
          </cell>
          <cell r="K1872">
            <v>46069</v>
          </cell>
        </row>
        <row r="1873">
          <cell r="B1873" t="str">
            <v>EXP_RancoTDDQ22026_360</v>
          </cell>
          <cell r="C1873" t="str">
            <v>0133678_LM_PS_Jose_Higino</v>
          </cell>
          <cell r="D1873" t="str">
            <v>M0854</v>
          </cell>
          <cell r="E1873" t="str">
            <v>RANCO TDD 2026</v>
          </cell>
          <cell r="F1873" t="str">
            <v>Expansiones</v>
          </cell>
          <cell r="G1873">
            <v>2026</v>
          </cell>
          <cell r="H1873" t="str">
            <v>Q2</v>
          </cell>
          <cell r="I1873" t="str">
            <v>Jason olivos</v>
          </cell>
          <cell r="J1873" t="str">
            <v>NO RFI</v>
          </cell>
          <cell r="K1873">
            <v>46069</v>
          </cell>
        </row>
        <row r="1874">
          <cell r="B1874" t="str">
            <v>EXP_RancoTDDQ22026_361</v>
          </cell>
          <cell r="C1874" t="str">
            <v>0134507_LM_Los_Amautas</v>
          </cell>
          <cell r="D1874" t="str">
            <v>M0854</v>
          </cell>
          <cell r="E1874" t="str">
            <v>RANCO TDD 2026</v>
          </cell>
          <cell r="F1874" t="str">
            <v>Expansiones</v>
          </cell>
          <cell r="G1874">
            <v>2026</v>
          </cell>
          <cell r="H1874" t="str">
            <v>Q2</v>
          </cell>
          <cell r="I1874" t="str">
            <v>Jason olivos</v>
          </cell>
          <cell r="J1874" t="str">
            <v>NO RFI</v>
          </cell>
          <cell r="K1874">
            <v>46069</v>
          </cell>
        </row>
        <row r="1875">
          <cell r="B1875" t="str">
            <v>EXP_RancoTDDQ22026_362</v>
          </cell>
          <cell r="C1875" t="str">
            <v>013254064_LM_NuevaGeneracionSjl</v>
          </cell>
          <cell r="D1875" t="str">
            <v>M0854</v>
          </cell>
          <cell r="E1875" t="str">
            <v>RANCO TDD 2026</v>
          </cell>
          <cell r="F1875" t="str">
            <v>Expansiones</v>
          </cell>
          <cell r="G1875">
            <v>2026</v>
          </cell>
          <cell r="H1875" t="str">
            <v>Q2</v>
          </cell>
          <cell r="I1875" t="str">
            <v>Jason olivos</v>
          </cell>
          <cell r="J1875" t="str">
            <v>NO RFI</v>
          </cell>
          <cell r="K1875">
            <v>46069</v>
          </cell>
        </row>
        <row r="1876">
          <cell r="B1876" t="str">
            <v>EXP_RancoTDDQ22026_363</v>
          </cell>
          <cell r="C1876" t="str">
            <v>0130286_LM_Monte_de_Oracion</v>
          </cell>
          <cell r="D1876" t="str">
            <v>M0854</v>
          </cell>
          <cell r="E1876" t="str">
            <v>RANCO TDD 2026</v>
          </cell>
          <cell r="F1876" t="str">
            <v>Expansiones</v>
          </cell>
          <cell r="G1876">
            <v>2026</v>
          </cell>
          <cell r="H1876" t="str">
            <v>Q2</v>
          </cell>
          <cell r="I1876" t="str">
            <v>Jason olivos</v>
          </cell>
          <cell r="J1876" t="str">
            <v>NO RFI</v>
          </cell>
          <cell r="K1876">
            <v>46069</v>
          </cell>
        </row>
        <row r="1877">
          <cell r="B1877" t="str">
            <v>EXP_RancoTDDQ22026_364</v>
          </cell>
          <cell r="C1877" t="str">
            <v>0135260_LM_Sangarara</v>
          </cell>
          <cell r="D1877" t="str">
            <v>M0854</v>
          </cell>
          <cell r="E1877" t="str">
            <v>RANCO TDD 2026</v>
          </cell>
          <cell r="F1877" t="str">
            <v>Expansiones</v>
          </cell>
          <cell r="G1877">
            <v>2026</v>
          </cell>
          <cell r="H1877" t="str">
            <v>Q2</v>
          </cell>
          <cell r="I1877" t="str">
            <v>Jason olivos</v>
          </cell>
          <cell r="J1877" t="str">
            <v>NO RFI</v>
          </cell>
          <cell r="K1877">
            <v>46069</v>
          </cell>
        </row>
        <row r="1878">
          <cell r="B1878" t="str">
            <v>EXP_RancoTDDQ22026_365</v>
          </cell>
          <cell r="C1878" t="str">
            <v>0135395_LM_Av_Paucartambo</v>
          </cell>
          <cell r="D1878" t="str">
            <v>M0854</v>
          </cell>
          <cell r="E1878" t="str">
            <v>RANCO TDD 2026</v>
          </cell>
          <cell r="F1878" t="str">
            <v>Expansiones</v>
          </cell>
          <cell r="G1878">
            <v>2026</v>
          </cell>
          <cell r="H1878" t="str">
            <v>Q2</v>
          </cell>
          <cell r="I1878" t="str">
            <v>Jason olivos</v>
          </cell>
          <cell r="J1878" t="str">
            <v>NO RFI</v>
          </cell>
          <cell r="K1878">
            <v>46069</v>
          </cell>
        </row>
        <row r="1879">
          <cell r="B1879" t="str">
            <v>EXP_RancoTDDQ22026_366</v>
          </cell>
          <cell r="C1879" t="str">
            <v>0131954_LM_Basagoitia</v>
          </cell>
          <cell r="D1879" t="str">
            <v>M0854</v>
          </cell>
          <cell r="E1879" t="str">
            <v>RANCO TDD 2026</v>
          </cell>
          <cell r="F1879" t="str">
            <v>Expansiones</v>
          </cell>
          <cell r="G1879">
            <v>2026</v>
          </cell>
          <cell r="H1879" t="str">
            <v>Q2</v>
          </cell>
          <cell r="I1879" t="str">
            <v>Jason olivos</v>
          </cell>
          <cell r="J1879" t="str">
            <v>NO RFI</v>
          </cell>
          <cell r="K1879">
            <v>46069</v>
          </cell>
        </row>
        <row r="1880">
          <cell r="B1880" t="str">
            <v>EXP_RancoTDDQ22026_367</v>
          </cell>
          <cell r="C1880" t="str">
            <v>0135278_LM_Chillon</v>
          </cell>
          <cell r="D1880" t="str">
            <v>M0854</v>
          </cell>
          <cell r="E1880" t="str">
            <v>RANCO TDD 2026</v>
          </cell>
          <cell r="F1880" t="str">
            <v>Expansiones</v>
          </cell>
          <cell r="G1880">
            <v>2026</v>
          </cell>
          <cell r="H1880" t="str">
            <v>Q2</v>
          </cell>
          <cell r="I1880" t="str">
            <v>Jason olivos</v>
          </cell>
          <cell r="J1880" t="str">
            <v>NO RFI</v>
          </cell>
          <cell r="K1880">
            <v>46069</v>
          </cell>
        </row>
        <row r="1881">
          <cell r="B1881" t="str">
            <v>EXP_RancoTDDQ22026_368</v>
          </cell>
          <cell r="C1881" t="str">
            <v>0130233_LM_Entrada_Collique</v>
          </cell>
          <cell r="D1881" t="str">
            <v>M0854</v>
          </cell>
          <cell r="E1881" t="str">
            <v>RANCO TDD 2026</v>
          </cell>
          <cell r="F1881" t="str">
            <v>Expansiones</v>
          </cell>
          <cell r="G1881">
            <v>2026</v>
          </cell>
          <cell r="H1881" t="str">
            <v>Q2</v>
          </cell>
          <cell r="I1881" t="str">
            <v>Jason olivos</v>
          </cell>
          <cell r="J1881" t="str">
            <v>NO RFI</v>
          </cell>
          <cell r="K1881">
            <v>46069</v>
          </cell>
        </row>
        <row r="1882">
          <cell r="B1882" t="str">
            <v>EXP_RancoTDDQ22026_369</v>
          </cell>
          <cell r="C1882" t="str">
            <v>0135422_LM_Shangrila_Puente</v>
          </cell>
          <cell r="D1882" t="str">
            <v>M0854</v>
          </cell>
          <cell r="E1882" t="str">
            <v>RANCO TDD 2026</v>
          </cell>
          <cell r="F1882" t="str">
            <v>Expansiones</v>
          </cell>
          <cell r="G1882">
            <v>2026</v>
          </cell>
          <cell r="H1882" t="str">
            <v>Q2</v>
          </cell>
          <cell r="I1882" t="str">
            <v>Jason olivos</v>
          </cell>
          <cell r="J1882" t="str">
            <v>NO RFI</v>
          </cell>
          <cell r="K1882">
            <v>46069</v>
          </cell>
        </row>
        <row r="1883">
          <cell r="B1883" t="str">
            <v>EXP_RancoTDDQ22026_370</v>
          </cell>
          <cell r="C1883" t="str">
            <v>013254604_LM_Revolucion_21</v>
          </cell>
          <cell r="D1883" t="str">
            <v>M0854</v>
          </cell>
          <cell r="E1883" t="str">
            <v>RANCO TDD 2026</v>
          </cell>
          <cell r="F1883" t="str">
            <v>Expansiones</v>
          </cell>
          <cell r="G1883">
            <v>2026</v>
          </cell>
          <cell r="H1883" t="str">
            <v>Q2</v>
          </cell>
          <cell r="I1883" t="str">
            <v>Jason olivos</v>
          </cell>
          <cell r="J1883" t="str">
            <v>NO RFI</v>
          </cell>
          <cell r="K1883">
            <v>46069</v>
          </cell>
        </row>
        <row r="1884">
          <cell r="B1884" t="str">
            <v>EXP_RancoTDDQ22026_371</v>
          </cell>
          <cell r="C1884" t="str">
            <v>0134719_LM_Bello_Horizonte</v>
          </cell>
          <cell r="D1884" t="str">
            <v>M0854</v>
          </cell>
          <cell r="E1884" t="str">
            <v>RANCO TDD 2026</v>
          </cell>
          <cell r="F1884" t="str">
            <v>Expansiones</v>
          </cell>
          <cell r="G1884">
            <v>2026</v>
          </cell>
          <cell r="H1884" t="str">
            <v>Q2</v>
          </cell>
          <cell r="I1884" t="str">
            <v>Jason olivos</v>
          </cell>
          <cell r="J1884" t="str">
            <v>NO RFI</v>
          </cell>
          <cell r="K1884">
            <v>46069</v>
          </cell>
        </row>
        <row r="1885">
          <cell r="B1885" t="str">
            <v>EXP_RancoTDDQ22026_372</v>
          </cell>
          <cell r="C1885" t="str">
            <v>0135272_LM_Autopista_Chillon</v>
          </cell>
          <cell r="D1885" t="str">
            <v>M0854</v>
          </cell>
          <cell r="E1885" t="str">
            <v>RANCO TDD 2026</v>
          </cell>
          <cell r="F1885" t="str">
            <v>Expansiones</v>
          </cell>
          <cell r="G1885">
            <v>2026</v>
          </cell>
          <cell r="H1885" t="str">
            <v>Q2</v>
          </cell>
          <cell r="I1885" t="str">
            <v>Jason olivos</v>
          </cell>
          <cell r="J1885" t="str">
            <v>NO RFI</v>
          </cell>
          <cell r="K1885">
            <v>46069</v>
          </cell>
        </row>
        <row r="1886">
          <cell r="B1886" t="str">
            <v>EXP_RancoTDDQ22026_373</v>
          </cell>
          <cell r="C1886" t="str">
            <v>0135273_LM_Tungasuca</v>
          </cell>
          <cell r="D1886" t="str">
            <v>M0854</v>
          </cell>
          <cell r="E1886" t="str">
            <v>RANCO TDD 2026</v>
          </cell>
          <cell r="F1886" t="str">
            <v>Expansiones</v>
          </cell>
          <cell r="G1886">
            <v>2026</v>
          </cell>
          <cell r="H1886" t="str">
            <v>Q2</v>
          </cell>
          <cell r="I1886" t="str">
            <v>Jason olivos</v>
          </cell>
          <cell r="J1886" t="str">
            <v>NO RFI</v>
          </cell>
          <cell r="K1886">
            <v>46069</v>
          </cell>
        </row>
        <row r="1887">
          <cell r="B1887" t="str">
            <v>EXP_RancoTDDQ22026_374</v>
          </cell>
          <cell r="C1887" t="str">
            <v>0130356_LM_Chimpu_Ocllo</v>
          </cell>
          <cell r="D1887" t="str">
            <v>M0854</v>
          </cell>
          <cell r="E1887" t="str">
            <v>RANCO TDD 2026</v>
          </cell>
          <cell r="F1887" t="str">
            <v>Expansiones</v>
          </cell>
          <cell r="G1887">
            <v>2026</v>
          </cell>
          <cell r="H1887" t="str">
            <v>Q2</v>
          </cell>
          <cell r="I1887" t="str">
            <v>Jason olivos</v>
          </cell>
          <cell r="J1887" t="str">
            <v>NO RFI</v>
          </cell>
          <cell r="K1887">
            <v>46069</v>
          </cell>
        </row>
        <row r="1888">
          <cell r="B1888" t="str">
            <v>EXP_RancoTDDQ22026_375</v>
          </cell>
          <cell r="C1888" t="str">
            <v>0135206_LM_PS_Anypsa</v>
          </cell>
          <cell r="D1888" t="str">
            <v>M0854</v>
          </cell>
          <cell r="E1888" t="str">
            <v>RANCO TDD 2026</v>
          </cell>
          <cell r="F1888" t="str">
            <v>Expansiones</v>
          </cell>
          <cell r="G1888">
            <v>2026</v>
          </cell>
          <cell r="H1888" t="str">
            <v>Q2</v>
          </cell>
          <cell r="I1888" t="str">
            <v>Jason olivos</v>
          </cell>
          <cell r="J1888" t="str">
            <v>NO RFI</v>
          </cell>
          <cell r="K1888">
            <v>46069</v>
          </cell>
        </row>
        <row r="1889">
          <cell r="B1889" t="str">
            <v>EXP_RancoTDDQ22026_376</v>
          </cell>
          <cell r="C1889" t="str">
            <v>0135494_LM_Avenida_B</v>
          </cell>
          <cell r="D1889" t="str">
            <v>M0854</v>
          </cell>
          <cell r="E1889" t="str">
            <v>RANCO TDD 2026</v>
          </cell>
          <cell r="F1889" t="str">
            <v>Expansiones</v>
          </cell>
          <cell r="G1889">
            <v>2026</v>
          </cell>
          <cell r="H1889" t="str">
            <v>Q2</v>
          </cell>
          <cell r="I1889" t="str">
            <v>Jason olivos</v>
          </cell>
          <cell r="J1889" t="str">
            <v>NO RFI</v>
          </cell>
          <cell r="K1889">
            <v>46069</v>
          </cell>
        </row>
        <row r="1890">
          <cell r="B1890" t="str">
            <v>EXP_RancoTDDQ22026_377</v>
          </cell>
          <cell r="C1890" t="str">
            <v>0134770_LM_Polaris</v>
          </cell>
          <cell r="D1890" t="str">
            <v>M0854</v>
          </cell>
          <cell r="E1890" t="str">
            <v>RANCO TDD 2026</v>
          </cell>
          <cell r="F1890" t="str">
            <v>Expansiones</v>
          </cell>
          <cell r="G1890">
            <v>2026</v>
          </cell>
          <cell r="H1890" t="str">
            <v>Q2</v>
          </cell>
          <cell r="I1890" t="str">
            <v>Jason olivos</v>
          </cell>
          <cell r="J1890" t="str">
            <v>NO RFI</v>
          </cell>
          <cell r="K1890">
            <v>46069</v>
          </cell>
        </row>
        <row r="1891">
          <cell r="B1891" t="str">
            <v>EXP_RancoTDDQ22026_378</v>
          </cell>
          <cell r="C1891" t="str">
            <v>0130518_LM_Puente_Piedra_Antiguo</v>
          </cell>
          <cell r="D1891" t="str">
            <v>M0854</v>
          </cell>
          <cell r="E1891" t="str">
            <v>RANCO TDD 2026</v>
          </cell>
          <cell r="F1891" t="str">
            <v>Expansiones</v>
          </cell>
          <cell r="G1891">
            <v>2026</v>
          </cell>
          <cell r="H1891" t="str">
            <v>Q2</v>
          </cell>
          <cell r="I1891" t="str">
            <v>Jason olivos</v>
          </cell>
          <cell r="J1891" t="str">
            <v>NO RFI</v>
          </cell>
          <cell r="K1891">
            <v>46069</v>
          </cell>
        </row>
        <row r="1892">
          <cell r="B1892" t="str">
            <v>EXP_RancoTDDQ22026_379</v>
          </cell>
          <cell r="C1892" t="str">
            <v>0135454_LM_Fresas</v>
          </cell>
          <cell r="D1892" t="str">
            <v>M0854</v>
          </cell>
          <cell r="E1892" t="str">
            <v>RANCO TDD 2026</v>
          </cell>
          <cell r="F1892" t="str">
            <v>Expansiones</v>
          </cell>
          <cell r="G1892">
            <v>2026</v>
          </cell>
          <cell r="H1892" t="str">
            <v>Q2</v>
          </cell>
          <cell r="I1892" t="str">
            <v>Jason olivos</v>
          </cell>
          <cell r="J1892" t="str">
            <v>NO RFI</v>
          </cell>
          <cell r="K1892">
            <v>46069</v>
          </cell>
        </row>
        <row r="1893">
          <cell r="B1893" t="str">
            <v>EXP_RancoTDDQ22026_380</v>
          </cell>
          <cell r="C1893" t="str">
            <v>0134576_LM_Paradero_La_Cumbre</v>
          </cell>
          <cell r="D1893" t="str">
            <v>M0854</v>
          </cell>
          <cell r="E1893" t="str">
            <v>RANCO TDD 2026</v>
          </cell>
          <cell r="F1893" t="str">
            <v>Expansiones</v>
          </cell>
          <cell r="G1893">
            <v>2026</v>
          </cell>
          <cell r="H1893" t="str">
            <v>Q2</v>
          </cell>
          <cell r="I1893" t="str">
            <v>Jason olivos</v>
          </cell>
          <cell r="J1893" t="str">
            <v>NO RFI</v>
          </cell>
          <cell r="K1893">
            <v>46069</v>
          </cell>
        </row>
        <row r="1894">
          <cell r="B1894" t="str">
            <v>EXP_RancoTDDQ22026_381</v>
          </cell>
          <cell r="C1894" t="str">
            <v>0135501_LM_Defensores_Patria</v>
          </cell>
          <cell r="D1894" t="str">
            <v>M0854</v>
          </cell>
          <cell r="E1894" t="str">
            <v>RANCO TDD 2026</v>
          </cell>
          <cell r="F1894" t="str">
            <v>Expansiones</v>
          </cell>
          <cell r="G1894">
            <v>2026</v>
          </cell>
          <cell r="H1894" t="str">
            <v>Q2</v>
          </cell>
          <cell r="I1894" t="str">
            <v>Jason olivos</v>
          </cell>
          <cell r="J1894" t="str">
            <v>NO RFI</v>
          </cell>
          <cell r="K1894">
            <v>46069</v>
          </cell>
        </row>
        <row r="1895">
          <cell r="B1895" t="str">
            <v>EXP_RancoTDDQ22026_382</v>
          </cell>
          <cell r="C1895" t="str">
            <v>0136320_LM_Elektra_Ventanilla</v>
          </cell>
          <cell r="D1895" t="str">
            <v>M0854</v>
          </cell>
          <cell r="E1895" t="str">
            <v>RANCO TDD 2026</v>
          </cell>
          <cell r="F1895" t="str">
            <v>Expansiones</v>
          </cell>
          <cell r="G1895">
            <v>2026</v>
          </cell>
          <cell r="H1895" t="str">
            <v>Q2</v>
          </cell>
          <cell r="I1895" t="str">
            <v>Jason olivos</v>
          </cell>
          <cell r="J1895" t="str">
            <v>NO RFI</v>
          </cell>
          <cell r="K1895">
            <v>46069</v>
          </cell>
        </row>
        <row r="1896">
          <cell r="B1896" t="str">
            <v>EXP_RancoTDDQ22026_383</v>
          </cell>
          <cell r="C1896" t="str">
            <v>0135396_LM_Trapiche_Chillon</v>
          </cell>
          <cell r="D1896" t="str">
            <v>M0854</v>
          </cell>
          <cell r="E1896" t="str">
            <v>RANCO TDD 2026</v>
          </cell>
          <cell r="F1896" t="str">
            <v>Expansiones</v>
          </cell>
          <cell r="G1896">
            <v>2026</v>
          </cell>
          <cell r="H1896" t="str">
            <v>Q2</v>
          </cell>
          <cell r="I1896" t="str">
            <v>Jason olivos</v>
          </cell>
          <cell r="J1896" t="str">
            <v>NO RFI</v>
          </cell>
          <cell r="K1896">
            <v>46069</v>
          </cell>
        </row>
        <row r="1897">
          <cell r="B1897" t="str">
            <v>EXP_RancoTDDQ22026_384</v>
          </cell>
          <cell r="C1897" t="str">
            <v>0132149_LM_El_Rapido</v>
          </cell>
          <cell r="D1897" t="str">
            <v>M0854</v>
          </cell>
          <cell r="E1897" t="str">
            <v>RANCO TDD 2026</v>
          </cell>
          <cell r="F1897" t="str">
            <v>Expansiones</v>
          </cell>
          <cell r="G1897">
            <v>2026</v>
          </cell>
          <cell r="H1897" t="str">
            <v>Q2</v>
          </cell>
          <cell r="I1897" t="str">
            <v>Jason olivos</v>
          </cell>
          <cell r="J1897" t="str">
            <v>NO RFI</v>
          </cell>
          <cell r="K1897">
            <v>46069</v>
          </cell>
        </row>
        <row r="1898">
          <cell r="B1898" t="str">
            <v>EXP_RancoTDDQ22026_385</v>
          </cell>
          <cell r="C1898" t="str">
            <v>0130285_LM_Puente_Piedra</v>
          </cell>
          <cell r="D1898" t="str">
            <v>M0854</v>
          </cell>
          <cell r="E1898" t="str">
            <v>RANCO TDD 2026</v>
          </cell>
          <cell r="F1898" t="str">
            <v>Expansiones</v>
          </cell>
          <cell r="G1898">
            <v>2026</v>
          </cell>
          <cell r="H1898" t="str">
            <v>Q2</v>
          </cell>
          <cell r="I1898" t="str">
            <v>Jason olivos</v>
          </cell>
          <cell r="J1898" t="str">
            <v>NO RFI</v>
          </cell>
          <cell r="K1898">
            <v>46069</v>
          </cell>
        </row>
        <row r="1899">
          <cell r="B1899" t="str">
            <v>EXP_RancoTDDQ22026_386</v>
          </cell>
          <cell r="C1899" t="str">
            <v>0135434_LM_Torres_Del_Pacifico</v>
          </cell>
          <cell r="D1899" t="str">
            <v>M0854</v>
          </cell>
          <cell r="E1899" t="str">
            <v>RANCO TDD 2026</v>
          </cell>
          <cell r="F1899" t="str">
            <v>Expansiones</v>
          </cell>
          <cell r="G1899">
            <v>2026</v>
          </cell>
          <cell r="H1899" t="str">
            <v>Q2</v>
          </cell>
          <cell r="I1899" t="str">
            <v>Jason olivos</v>
          </cell>
          <cell r="J1899" t="str">
            <v>NO RFI</v>
          </cell>
          <cell r="K1899">
            <v>46069</v>
          </cell>
        </row>
        <row r="1900">
          <cell r="B1900" t="str">
            <v>EXP_RancoTDDQ22026_387</v>
          </cell>
          <cell r="C1900" t="str">
            <v>0134002_LM_Pablo_Boner</v>
          </cell>
          <cell r="D1900" t="str">
            <v>M0854</v>
          </cell>
          <cell r="E1900" t="str">
            <v>RANCO TDD 2026</v>
          </cell>
          <cell r="F1900" t="str">
            <v>Expansiones</v>
          </cell>
          <cell r="G1900">
            <v>2026</v>
          </cell>
          <cell r="H1900" t="str">
            <v>Q2</v>
          </cell>
          <cell r="I1900" t="str">
            <v>Jason olivos</v>
          </cell>
          <cell r="J1900" t="str">
            <v>NO RFI</v>
          </cell>
          <cell r="K1900">
            <v>46069</v>
          </cell>
        </row>
        <row r="1901">
          <cell r="B1901" t="str">
            <v>EXP_RancoTDDQ22026_388</v>
          </cell>
          <cell r="C1901" t="str">
            <v>0135362_LM_Cerrito_Libertad</v>
          </cell>
          <cell r="D1901" t="str">
            <v>M0854</v>
          </cell>
          <cell r="E1901" t="str">
            <v>RANCO TDD 2026</v>
          </cell>
          <cell r="F1901" t="str">
            <v>Expansiones</v>
          </cell>
          <cell r="G1901">
            <v>2026</v>
          </cell>
          <cell r="H1901" t="str">
            <v>Q2</v>
          </cell>
          <cell r="I1901" t="str">
            <v>Jason olivos</v>
          </cell>
          <cell r="J1901" t="str">
            <v>NO RFI</v>
          </cell>
          <cell r="K1901">
            <v>46069</v>
          </cell>
        </row>
        <row r="1902">
          <cell r="B1902" t="str">
            <v>EXP_RancoTDDQ22026_389</v>
          </cell>
          <cell r="C1902" t="str">
            <v>0131387_LM_Canepa_Rosales</v>
          </cell>
          <cell r="D1902" t="str">
            <v>M0854</v>
          </cell>
          <cell r="E1902" t="str">
            <v>RANCO TDD 2026</v>
          </cell>
          <cell r="F1902" t="str">
            <v>Expansiones</v>
          </cell>
          <cell r="G1902">
            <v>2026</v>
          </cell>
          <cell r="H1902" t="str">
            <v>Q2</v>
          </cell>
          <cell r="I1902" t="str">
            <v>Jason olivos</v>
          </cell>
          <cell r="J1902" t="str">
            <v>NO RFI</v>
          </cell>
          <cell r="K1902">
            <v>46069</v>
          </cell>
        </row>
        <row r="1903">
          <cell r="B1903" t="str">
            <v>EXP_RancoTDDQ22026_390</v>
          </cell>
          <cell r="C1903" t="str">
            <v>0135405_LM_San_Juan_Pte_Piedra</v>
          </cell>
          <cell r="D1903" t="str">
            <v>M0854</v>
          </cell>
          <cell r="E1903" t="str">
            <v>RANCO TDD 2026</v>
          </cell>
          <cell r="F1903" t="str">
            <v>Expansiones</v>
          </cell>
          <cell r="G1903">
            <v>2026</v>
          </cell>
          <cell r="H1903" t="str">
            <v>Q2</v>
          </cell>
          <cell r="I1903" t="str">
            <v>Jason olivos</v>
          </cell>
          <cell r="J1903" t="str">
            <v>NO RFI</v>
          </cell>
          <cell r="K1903">
            <v>46069</v>
          </cell>
        </row>
        <row r="1904">
          <cell r="B1904" t="str">
            <v>EXP_RancoTDDQ22026_391</v>
          </cell>
          <cell r="C1904" t="str">
            <v>0134630_LM_Tumbes_Mi_Peru</v>
          </cell>
          <cell r="D1904" t="str">
            <v>M0854</v>
          </cell>
          <cell r="E1904" t="str">
            <v>RANCO TDD 2026</v>
          </cell>
          <cell r="F1904" t="str">
            <v>Expansiones</v>
          </cell>
          <cell r="G1904">
            <v>2026</v>
          </cell>
          <cell r="H1904" t="str">
            <v>Q2</v>
          </cell>
          <cell r="I1904" t="str">
            <v>Jason olivos</v>
          </cell>
          <cell r="J1904" t="str">
            <v>NO RFI</v>
          </cell>
          <cell r="K1904">
            <v>46069</v>
          </cell>
        </row>
        <row r="1905">
          <cell r="B1905" t="str">
            <v>EXP_RancoTDDQ22026_392</v>
          </cell>
          <cell r="C1905" t="str">
            <v>0135291_LM_Vinas_Del_Norte</v>
          </cell>
          <cell r="D1905" t="str">
            <v>M0854</v>
          </cell>
          <cell r="E1905" t="str">
            <v>RANCO TDD 2026</v>
          </cell>
          <cell r="F1905" t="str">
            <v>Expansiones</v>
          </cell>
          <cell r="G1905">
            <v>2026</v>
          </cell>
          <cell r="H1905" t="str">
            <v>Q2</v>
          </cell>
          <cell r="I1905" t="str">
            <v>Jason olivos</v>
          </cell>
          <cell r="J1905" t="str">
            <v>NO RFI</v>
          </cell>
          <cell r="K1905">
            <v>46069</v>
          </cell>
        </row>
        <row r="1906">
          <cell r="B1906" t="str">
            <v>EXP_RancoTDDQ22026_393</v>
          </cell>
          <cell r="C1906" t="str">
            <v>0135499_LM_Pachacutec_Sur</v>
          </cell>
          <cell r="D1906" t="str">
            <v>M0854</v>
          </cell>
          <cell r="E1906" t="str">
            <v>RANCO TDD 2026</v>
          </cell>
          <cell r="F1906" t="str">
            <v>Expansiones</v>
          </cell>
          <cell r="G1906">
            <v>2026</v>
          </cell>
          <cell r="H1906" t="str">
            <v>Q2</v>
          </cell>
          <cell r="I1906" t="str">
            <v>Jason olivos</v>
          </cell>
          <cell r="J1906" t="str">
            <v>NO RFI</v>
          </cell>
          <cell r="K1906">
            <v>46069</v>
          </cell>
        </row>
        <row r="1907">
          <cell r="B1907" t="str">
            <v>EXP_RancoTDDQ22026_394</v>
          </cell>
          <cell r="C1907" t="str">
            <v>013254760_LM_Loma_Blanca</v>
          </cell>
          <cell r="D1907" t="str">
            <v>M0854</v>
          </cell>
          <cell r="E1907" t="str">
            <v>RANCO TDD 2026</v>
          </cell>
          <cell r="F1907" t="str">
            <v>Expansiones</v>
          </cell>
          <cell r="G1907">
            <v>2026</v>
          </cell>
          <cell r="H1907" t="str">
            <v>Q2</v>
          </cell>
          <cell r="I1907" t="str">
            <v>Jason olivos</v>
          </cell>
          <cell r="J1907" t="str">
            <v>NO RFI</v>
          </cell>
          <cell r="K1907">
            <v>46069</v>
          </cell>
        </row>
        <row r="1908">
          <cell r="B1908" t="str">
            <v>EXP_RancoTDDQ22026_395</v>
          </cell>
          <cell r="C1908" t="str">
            <v>0134722_LM_Carretera_Delfin</v>
          </cell>
          <cell r="D1908" t="str">
            <v>M0854</v>
          </cell>
          <cell r="E1908" t="str">
            <v>RANCO TDD 2026</v>
          </cell>
          <cell r="F1908" t="str">
            <v>Expansiones</v>
          </cell>
          <cell r="G1908">
            <v>2026</v>
          </cell>
          <cell r="H1908" t="str">
            <v>Q2</v>
          </cell>
          <cell r="I1908" t="str">
            <v>Jason olivos</v>
          </cell>
          <cell r="J1908" t="str">
            <v>NO RFI</v>
          </cell>
          <cell r="K1908">
            <v>46069</v>
          </cell>
        </row>
        <row r="1909">
          <cell r="B1909" t="str">
            <v>EXP_RancoTDDQ22026_396</v>
          </cell>
          <cell r="C1909" t="str">
            <v>0135350_LM_Gloria_Bamba</v>
          </cell>
          <cell r="D1909" t="str">
            <v>M0854</v>
          </cell>
          <cell r="E1909" t="str">
            <v>RANCO TDD 2026</v>
          </cell>
          <cell r="F1909" t="str">
            <v>Expansiones</v>
          </cell>
          <cell r="G1909">
            <v>2026</v>
          </cell>
          <cell r="H1909" t="str">
            <v>Q2</v>
          </cell>
          <cell r="I1909" t="str">
            <v>Jason olivos</v>
          </cell>
          <cell r="J1909" t="str">
            <v>NO RFI</v>
          </cell>
          <cell r="K1909">
            <v>46069</v>
          </cell>
        </row>
        <row r="1910">
          <cell r="B1910" t="str">
            <v>EXP_RancoTDDQ22026_397</v>
          </cell>
          <cell r="C1910" t="str">
            <v>0134445_LM_Av_200</v>
          </cell>
          <cell r="D1910" t="str">
            <v>M0854</v>
          </cell>
          <cell r="E1910" t="str">
            <v>RANCO TDD 2026</v>
          </cell>
          <cell r="F1910" t="str">
            <v>Expansiones</v>
          </cell>
          <cell r="G1910">
            <v>2026</v>
          </cell>
          <cell r="H1910" t="str">
            <v>Q2</v>
          </cell>
          <cell r="I1910" t="str">
            <v>Jason olivos</v>
          </cell>
          <cell r="J1910" t="str">
            <v>NO RFI</v>
          </cell>
          <cell r="K1910">
            <v>46069</v>
          </cell>
        </row>
        <row r="1911">
          <cell r="B1911" t="str">
            <v>EXP_RancoTDDQ22026_398</v>
          </cell>
          <cell r="C1911" t="str">
            <v>0132993_LM_Parcela_Maria</v>
          </cell>
          <cell r="D1911" t="str">
            <v>M0854</v>
          </cell>
          <cell r="E1911" t="str">
            <v>RANCO TDD 2026</v>
          </cell>
          <cell r="F1911" t="str">
            <v>Expansiones</v>
          </cell>
          <cell r="G1911">
            <v>2026</v>
          </cell>
          <cell r="H1911" t="str">
            <v>Q2</v>
          </cell>
          <cell r="I1911" t="str">
            <v>Jason olivos</v>
          </cell>
          <cell r="J1911" t="str">
            <v>NO RFI</v>
          </cell>
          <cell r="K1911">
            <v>46069</v>
          </cell>
        </row>
        <row r="1912">
          <cell r="B1912" t="str">
            <v>EXP_RancoTDDQ22026_399</v>
          </cell>
          <cell r="C1912" t="str">
            <v>0131110_LM_Cascadas_Zapallal</v>
          </cell>
          <cell r="D1912" t="str">
            <v>M0854</v>
          </cell>
          <cell r="E1912" t="str">
            <v>RANCO TDD 2026</v>
          </cell>
          <cell r="F1912" t="str">
            <v>Expansiones</v>
          </cell>
          <cell r="G1912">
            <v>2026</v>
          </cell>
          <cell r="H1912" t="str">
            <v>Q2</v>
          </cell>
          <cell r="I1912" t="str">
            <v>Jason olivos</v>
          </cell>
          <cell r="J1912" t="str">
            <v>NO RFI</v>
          </cell>
          <cell r="K1912">
            <v>46069</v>
          </cell>
        </row>
        <row r="1913">
          <cell r="B1913" t="str">
            <v>EXP_RancoTDDQ22026_400</v>
          </cell>
          <cell r="C1913" t="str">
            <v>0134636_LM_Villa_Los_Reyes</v>
          </cell>
          <cell r="D1913" t="str">
            <v>M0854</v>
          </cell>
          <cell r="E1913" t="str">
            <v>RANCO TDD 2026</v>
          </cell>
          <cell r="F1913" t="str">
            <v>Expansiones</v>
          </cell>
          <cell r="G1913">
            <v>2026</v>
          </cell>
          <cell r="H1913" t="str">
            <v>Q2</v>
          </cell>
          <cell r="I1913" t="str">
            <v>Jason olivos</v>
          </cell>
          <cell r="J1913" t="str">
            <v>NO RFI</v>
          </cell>
          <cell r="K1913">
            <v>46069</v>
          </cell>
        </row>
        <row r="1914">
          <cell r="B1914" t="str">
            <v>EXP_RancoTDDQ22026_401</v>
          </cell>
          <cell r="C1914" t="str">
            <v>0132990_LM_Bolivar_Hiroshima</v>
          </cell>
          <cell r="D1914" t="str">
            <v>M0854</v>
          </cell>
          <cell r="E1914" t="str">
            <v>RANCO TDD 2026</v>
          </cell>
          <cell r="F1914" t="str">
            <v>Expansiones</v>
          </cell>
          <cell r="G1914">
            <v>2026</v>
          </cell>
          <cell r="H1914" t="str">
            <v>Q2</v>
          </cell>
          <cell r="I1914" t="str">
            <v>Jason olivos</v>
          </cell>
          <cell r="J1914" t="str">
            <v>NO RFI</v>
          </cell>
          <cell r="K1914">
            <v>46069</v>
          </cell>
        </row>
        <row r="1915">
          <cell r="B1915" t="str">
            <v>EXP_RancoTDDQ22026_402</v>
          </cell>
          <cell r="C1915" t="str">
            <v>0135082_LM_PS_El_Escondite</v>
          </cell>
          <cell r="D1915" t="str">
            <v>M0854</v>
          </cell>
          <cell r="E1915" t="str">
            <v>RANCO TDD 2026</v>
          </cell>
          <cell r="F1915" t="str">
            <v>Expansiones</v>
          </cell>
          <cell r="G1915">
            <v>2026</v>
          </cell>
          <cell r="H1915" t="str">
            <v>Q2</v>
          </cell>
          <cell r="I1915" t="str">
            <v>Jason olivos</v>
          </cell>
          <cell r="J1915" t="str">
            <v>NO RFI</v>
          </cell>
          <cell r="K1915">
            <v>46069</v>
          </cell>
        </row>
        <row r="1916">
          <cell r="B1916" t="str">
            <v>EXP_RancoTDDQ22026_403</v>
          </cell>
          <cell r="C1916" t="str">
            <v>0135284_LM_Asociacion_Santa</v>
          </cell>
          <cell r="D1916" t="str">
            <v>M0854</v>
          </cell>
          <cell r="E1916" t="str">
            <v>RANCO TDD 2026</v>
          </cell>
          <cell r="F1916" t="str">
            <v>Expansiones</v>
          </cell>
          <cell r="G1916">
            <v>2026</v>
          </cell>
          <cell r="H1916" t="str">
            <v>Q2</v>
          </cell>
          <cell r="I1916" t="str">
            <v>Jason olivos</v>
          </cell>
          <cell r="J1916" t="str">
            <v>NO RFI</v>
          </cell>
          <cell r="K1916">
            <v>46069</v>
          </cell>
        </row>
        <row r="1917">
          <cell r="B1917" t="str">
            <v>EXP_RancoTDDQ22026_404</v>
          </cell>
          <cell r="C1917" t="str">
            <v>0135375_LM_La_villa_rica</v>
          </cell>
          <cell r="D1917" t="str">
            <v>M0854</v>
          </cell>
          <cell r="E1917" t="str">
            <v>RANCO TDD 2026</v>
          </cell>
          <cell r="F1917" t="str">
            <v>Expansiones</v>
          </cell>
          <cell r="G1917">
            <v>2026</v>
          </cell>
          <cell r="H1917" t="str">
            <v>Q2</v>
          </cell>
          <cell r="I1917" t="str">
            <v>Jason olivos</v>
          </cell>
          <cell r="J1917" t="str">
            <v>NO RFI</v>
          </cell>
          <cell r="K1917">
            <v>46069</v>
          </cell>
        </row>
        <row r="1918">
          <cell r="B1918" t="str">
            <v>EXP_RancoTDDQ22026_405</v>
          </cell>
          <cell r="C1918" t="str">
            <v>0135347_LM_San_Judas_Tadeo</v>
          </cell>
          <cell r="D1918" t="str">
            <v>M0854</v>
          </cell>
          <cell r="E1918" t="str">
            <v>RANCO TDD 2026</v>
          </cell>
          <cell r="F1918" t="str">
            <v>Expansiones</v>
          </cell>
          <cell r="G1918">
            <v>2026</v>
          </cell>
          <cell r="H1918" t="str">
            <v>Q2</v>
          </cell>
          <cell r="I1918" t="str">
            <v>Jason olivos</v>
          </cell>
          <cell r="J1918" t="str">
            <v>NO RFI</v>
          </cell>
          <cell r="K1918">
            <v>46069</v>
          </cell>
        </row>
        <row r="1919">
          <cell r="B1919" t="str">
            <v>EXP_RancoTDDQ22026_406</v>
          </cell>
          <cell r="C1919" t="str">
            <v>0134438_LM_PS_American_Plast</v>
          </cell>
          <cell r="D1919" t="str">
            <v>M0854</v>
          </cell>
          <cell r="E1919" t="str">
            <v>RANCO TDD 2026</v>
          </cell>
          <cell r="F1919" t="str">
            <v>Expansiones</v>
          </cell>
          <cell r="G1919">
            <v>2026</v>
          </cell>
          <cell r="H1919" t="str">
            <v>Q2</v>
          </cell>
          <cell r="I1919" t="str">
            <v>Jason olivos</v>
          </cell>
          <cell r="J1919" t="str">
            <v>NO RFI</v>
          </cell>
          <cell r="K1919">
            <v>46069</v>
          </cell>
        </row>
        <row r="1920">
          <cell r="B1920" t="str">
            <v>EXP_RancoTDDQ22026_407</v>
          </cell>
          <cell r="C1920" t="str">
            <v>0130191_LM_Valle_Sagrado</v>
          </cell>
          <cell r="D1920" t="str">
            <v>M0854</v>
          </cell>
          <cell r="E1920" t="str">
            <v>RANCO TDD 2026</v>
          </cell>
          <cell r="F1920" t="str">
            <v>Expansiones</v>
          </cell>
          <cell r="G1920">
            <v>2026</v>
          </cell>
          <cell r="H1920" t="str">
            <v>Q2</v>
          </cell>
          <cell r="I1920" t="str">
            <v>Jason olivos</v>
          </cell>
          <cell r="J1920" t="str">
            <v>NO RFI</v>
          </cell>
          <cell r="K1920">
            <v>46069</v>
          </cell>
        </row>
        <row r="1921">
          <cell r="B1921" t="str">
            <v>EXP_RancoTDDQ22026_408</v>
          </cell>
          <cell r="C1921" t="str">
            <v>0130529_LM_Diciembre_11</v>
          </cell>
          <cell r="D1921" t="str">
            <v>M0854</v>
          </cell>
          <cell r="E1921" t="str">
            <v>RANCO TDD 2026</v>
          </cell>
          <cell r="F1921" t="str">
            <v>Expansiones</v>
          </cell>
          <cell r="G1921">
            <v>2026</v>
          </cell>
          <cell r="H1921" t="str">
            <v>Q2</v>
          </cell>
          <cell r="I1921" t="str">
            <v>Jason olivos</v>
          </cell>
          <cell r="J1921" t="str">
            <v>NO RFI</v>
          </cell>
          <cell r="K1921">
            <v>46069</v>
          </cell>
        </row>
        <row r="1922">
          <cell r="B1922" t="str">
            <v>EXP_RancoTDDQ22026_409</v>
          </cell>
          <cell r="C1922" t="str">
            <v>0130374_LM_Zapallal</v>
          </cell>
          <cell r="D1922" t="str">
            <v>M0854</v>
          </cell>
          <cell r="E1922" t="str">
            <v>RANCO TDD 2026</v>
          </cell>
          <cell r="F1922" t="str">
            <v>Expansiones</v>
          </cell>
          <cell r="G1922">
            <v>2026</v>
          </cell>
          <cell r="H1922" t="str">
            <v>Q2</v>
          </cell>
          <cell r="I1922" t="str">
            <v>Jason olivos</v>
          </cell>
          <cell r="J1922" t="str">
            <v>NO RFI</v>
          </cell>
          <cell r="K1922">
            <v>46069</v>
          </cell>
        </row>
        <row r="1923">
          <cell r="B1923" t="str">
            <v>EXP_RancoTDDQ22026_410</v>
          </cell>
          <cell r="C1923" t="str">
            <v>0133049_JU_Cochas_Chico</v>
          </cell>
          <cell r="D1923" t="str">
            <v>M0854</v>
          </cell>
          <cell r="E1923" t="str">
            <v>RANCO TDD 2026</v>
          </cell>
          <cell r="F1923" t="str">
            <v>Expansiones</v>
          </cell>
          <cell r="G1923">
            <v>2026</v>
          </cell>
          <cell r="H1923" t="str">
            <v>Q2</v>
          </cell>
          <cell r="I1923" t="str">
            <v>Jason olivos</v>
          </cell>
          <cell r="J1923" t="str">
            <v>NO RFI</v>
          </cell>
          <cell r="K1923">
            <v>46069</v>
          </cell>
        </row>
        <row r="1924">
          <cell r="B1924" t="str">
            <v>EXP_RancoTDDQ22026_411</v>
          </cell>
          <cell r="C1924" t="str">
            <v>0136269_LM_Los_Alisos_Chancay</v>
          </cell>
          <cell r="D1924" t="str">
            <v>M0854</v>
          </cell>
          <cell r="E1924" t="str">
            <v>RANCO TDD 2026</v>
          </cell>
          <cell r="F1924" t="str">
            <v>Expansiones</v>
          </cell>
          <cell r="G1924">
            <v>2026</v>
          </cell>
          <cell r="H1924" t="str">
            <v>Q2</v>
          </cell>
          <cell r="I1924" t="str">
            <v>Jason olivos</v>
          </cell>
          <cell r="J1924" t="str">
            <v>NO RFI</v>
          </cell>
          <cell r="K1924">
            <v>46069</v>
          </cell>
        </row>
        <row r="1925">
          <cell r="B1925" t="str">
            <v>EXP_RancoTDDQ22026_412</v>
          </cell>
          <cell r="C1925" t="str">
            <v>0136235_LM_Urbanizacion_Aparic</v>
          </cell>
          <cell r="D1925" t="str">
            <v>M0854</v>
          </cell>
          <cell r="E1925" t="str">
            <v>RANCO TDD 2026</v>
          </cell>
          <cell r="F1925" t="str">
            <v>Expansiones</v>
          </cell>
          <cell r="G1925">
            <v>2026</v>
          </cell>
          <cell r="H1925" t="str">
            <v>Q2</v>
          </cell>
          <cell r="I1925" t="str">
            <v>Jason olivos</v>
          </cell>
          <cell r="J1925" t="str">
            <v>NO RFI</v>
          </cell>
          <cell r="K1925">
            <v>46069</v>
          </cell>
        </row>
        <row r="1926">
          <cell r="B1926" t="str">
            <v>EXP_RancoTDDQ22026_413</v>
          </cell>
          <cell r="C1926" t="str">
            <v>0135935_LM_Huaral_Norte</v>
          </cell>
          <cell r="D1926" t="str">
            <v>M0854</v>
          </cell>
          <cell r="E1926" t="str">
            <v>RANCO TDD 2026</v>
          </cell>
          <cell r="F1926" t="str">
            <v>Expansiones</v>
          </cell>
          <cell r="G1926">
            <v>2026</v>
          </cell>
          <cell r="H1926" t="str">
            <v>Q2</v>
          </cell>
          <cell r="I1926" t="str">
            <v>Jason olivos</v>
          </cell>
          <cell r="J1926" t="str">
            <v>NO RFI</v>
          </cell>
          <cell r="K1926">
            <v>46069</v>
          </cell>
        </row>
        <row r="1927">
          <cell r="B1927" t="str">
            <v>EXP_RancoTDDQ22026_414</v>
          </cell>
          <cell r="C1927" t="str">
            <v>0133043_JU_Curis</v>
          </cell>
          <cell r="D1927" t="str">
            <v>M0854</v>
          </cell>
          <cell r="E1927" t="str">
            <v>RANCO TDD 2026</v>
          </cell>
          <cell r="F1927" t="str">
            <v>Expansiones</v>
          </cell>
          <cell r="G1927">
            <v>2026</v>
          </cell>
          <cell r="H1927" t="str">
            <v>Q2</v>
          </cell>
          <cell r="I1927" t="str">
            <v>Jason olivos</v>
          </cell>
          <cell r="J1927" t="str">
            <v>NO RFI</v>
          </cell>
          <cell r="K1927">
            <v>46069</v>
          </cell>
        </row>
        <row r="1928">
          <cell r="B1928" t="str">
            <v>EXP_RancoTDDQ22026_415</v>
          </cell>
          <cell r="C1928" t="str">
            <v>0132199_LM_El_Tanque_Pinos</v>
          </cell>
          <cell r="D1928" t="str">
            <v>M0854</v>
          </cell>
          <cell r="E1928" t="str">
            <v>RANCO TDD 2026</v>
          </cell>
          <cell r="F1928" t="str">
            <v>Expansiones</v>
          </cell>
          <cell r="G1928">
            <v>2026</v>
          </cell>
          <cell r="H1928" t="str">
            <v>Q2</v>
          </cell>
          <cell r="I1928" t="str">
            <v>Jason olivos</v>
          </cell>
          <cell r="J1928" t="str">
            <v>NO RFI</v>
          </cell>
          <cell r="K1928">
            <v>46069</v>
          </cell>
        </row>
        <row r="1929">
          <cell r="B1929" t="str">
            <v>EXP_RancoTDDQ22026_416</v>
          </cell>
          <cell r="C1929" t="str">
            <v>0135711_LM_Maaxo</v>
          </cell>
          <cell r="D1929" t="str">
            <v>M0854</v>
          </cell>
          <cell r="E1929" t="str">
            <v>RANCO TDD 2026</v>
          </cell>
          <cell r="F1929" t="str">
            <v>Expansiones</v>
          </cell>
          <cell r="G1929">
            <v>2026</v>
          </cell>
          <cell r="H1929" t="str">
            <v>Q2</v>
          </cell>
          <cell r="I1929" t="str">
            <v>Jason olivos</v>
          </cell>
          <cell r="J1929" t="str">
            <v>NO RFI</v>
          </cell>
          <cell r="K1929">
            <v>46069</v>
          </cell>
        </row>
        <row r="1930">
          <cell r="B1930" t="str">
            <v>EXP_RancoTDDQ22026_417</v>
          </cell>
          <cell r="C1930" t="str">
            <v>0135726_LM_Colobarrutia</v>
          </cell>
          <cell r="D1930" t="str">
            <v>M0854</v>
          </cell>
          <cell r="E1930" t="str">
            <v>RANCO TDD 2026</v>
          </cell>
          <cell r="F1930" t="str">
            <v>Expansiones</v>
          </cell>
          <cell r="G1930">
            <v>2026</v>
          </cell>
          <cell r="H1930" t="str">
            <v>Q2</v>
          </cell>
          <cell r="I1930" t="str">
            <v>Jason olivos</v>
          </cell>
          <cell r="J1930" t="str">
            <v>NO RFI</v>
          </cell>
          <cell r="K1930">
            <v>46069</v>
          </cell>
        </row>
        <row r="1931">
          <cell r="B1931" t="str">
            <v>EXP_RancoTDDQ22026_418</v>
          </cell>
          <cell r="C1931" t="str">
            <v>0130257_LM_Huacho_Norte</v>
          </cell>
          <cell r="D1931" t="str">
            <v>M0854</v>
          </cell>
          <cell r="E1931" t="str">
            <v>RANCO TDD 2026</v>
          </cell>
          <cell r="F1931" t="str">
            <v>Expansiones</v>
          </cell>
          <cell r="G1931">
            <v>2026</v>
          </cell>
          <cell r="H1931" t="str">
            <v>Q2</v>
          </cell>
          <cell r="I1931" t="str">
            <v>Jason olivos</v>
          </cell>
          <cell r="J1931" t="str">
            <v>NO RFI</v>
          </cell>
          <cell r="K1931">
            <v>46069</v>
          </cell>
        </row>
        <row r="1932">
          <cell r="B1932" t="str">
            <v>EXP_RancoTDDQ22026_419</v>
          </cell>
          <cell r="C1932" t="str">
            <v>0131332_LM_Reyes_Barboza</v>
          </cell>
          <cell r="D1932" t="str">
            <v>M0854</v>
          </cell>
          <cell r="E1932" t="str">
            <v>RANCO TDD 2026</v>
          </cell>
          <cell r="F1932" t="str">
            <v>Expansiones</v>
          </cell>
          <cell r="G1932">
            <v>2026</v>
          </cell>
          <cell r="H1932" t="str">
            <v>Q2</v>
          </cell>
          <cell r="I1932" t="str">
            <v>Jason olivos</v>
          </cell>
          <cell r="J1932" t="str">
            <v>NO RFI</v>
          </cell>
          <cell r="K1932">
            <v>46069</v>
          </cell>
        </row>
        <row r="1933">
          <cell r="B1933" t="str">
            <v>EXP_RancoTDDQ22026_420</v>
          </cell>
          <cell r="C1933" t="str">
            <v>0136219_LM_Grau_Y_Ugarte</v>
          </cell>
          <cell r="D1933" t="str">
            <v>M0854</v>
          </cell>
          <cell r="E1933" t="str">
            <v>RANCO TDD 2026</v>
          </cell>
          <cell r="F1933" t="str">
            <v>Expansiones</v>
          </cell>
          <cell r="G1933">
            <v>2026</v>
          </cell>
          <cell r="H1933" t="str">
            <v>Q2</v>
          </cell>
          <cell r="I1933" t="str">
            <v>Jason olivos</v>
          </cell>
          <cell r="J1933" t="str">
            <v>NO RFI</v>
          </cell>
          <cell r="K1933">
            <v>46069</v>
          </cell>
        </row>
        <row r="1934">
          <cell r="B1934" t="str">
            <v>EXP_RancoTDDQ22026_421</v>
          </cell>
          <cell r="C1934" t="str">
            <v>0130385_LM_Barranca</v>
          </cell>
          <cell r="D1934" t="str">
            <v>M0854</v>
          </cell>
          <cell r="E1934" t="str">
            <v>RANCO TDD 2026</v>
          </cell>
          <cell r="F1934" t="str">
            <v>Expansiones</v>
          </cell>
          <cell r="G1934">
            <v>2026</v>
          </cell>
          <cell r="H1934" t="str">
            <v>Q2</v>
          </cell>
          <cell r="I1934" t="str">
            <v>Jason olivos</v>
          </cell>
          <cell r="J1934" t="str">
            <v>NO RFI</v>
          </cell>
          <cell r="K1934">
            <v>46069</v>
          </cell>
        </row>
        <row r="1935">
          <cell r="B1935" t="str">
            <v>EXP_RancoTDDQ22026_422</v>
          </cell>
          <cell r="C1935" t="str">
            <v>013254059_LM_PedroSayan</v>
          </cell>
          <cell r="D1935" t="str">
            <v>M0854</v>
          </cell>
          <cell r="E1935" t="str">
            <v>RANCO TDD 2026</v>
          </cell>
          <cell r="F1935" t="str">
            <v>Expansiones</v>
          </cell>
          <cell r="G1935">
            <v>2026</v>
          </cell>
          <cell r="H1935" t="str">
            <v>Q2</v>
          </cell>
          <cell r="I1935" t="str">
            <v>Jason olivos</v>
          </cell>
          <cell r="J1935" t="str">
            <v>NO RFI</v>
          </cell>
          <cell r="K1935">
            <v>46069</v>
          </cell>
        </row>
        <row r="1936">
          <cell r="B1936" t="str">
            <v>EXP_RancoTDDQ22026_423</v>
          </cell>
          <cell r="C1936" t="str">
            <v>0131002_LA_Reque</v>
          </cell>
          <cell r="D1936" t="str">
            <v>M0854</v>
          </cell>
          <cell r="E1936" t="str">
            <v>RANCO TDD 2026</v>
          </cell>
          <cell r="F1936" t="str">
            <v>Expansiones</v>
          </cell>
          <cell r="G1936">
            <v>2026</v>
          </cell>
          <cell r="H1936" t="str">
            <v>Q2</v>
          </cell>
          <cell r="I1936" t="str">
            <v>Jason olivos</v>
          </cell>
          <cell r="J1936" t="str">
            <v>NO RFI</v>
          </cell>
          <cell r="K1936">
            <v>46069</v>
          </cell>
        </row>
        <row r="1937">
          <cell r="B1937" t="str">
            <v>EXP_RancoTDDQ22026_424</v>
          </cell>
          <cell r="C1937" t="str">
            <v>0130587_LM_Quilmana_Pueblo</v>
          </cell>
          <cell r="D1937" t="str">
            <v>M0854</v>
          </cell>
          <cell r="E1937" t="str">
            <v>RANCO TDD 2026</v>
          </cell>
          <cell r="F1937" t="str">
            <v>Expansiones</v>
          </cell>
          <cell r="G1937">
            <v>2026</v>
          </cell>
          <cell r="H1937" t="str">
            <v>Q2</v>
          </cell>
          <cell r="I1937" t="str">
            <v>Jason olivos</v>
          </cell>
          <cell r="J1937" t="str">
            <v>NO RFI</v>
          </cell>
          <cell r="K1937">
            <v>46069</v>
          </cell>
        </row>
        <row r="1938">
          <cell r="B1938" t="str">
            <v>EXP_RancoTDDQ22026_425</v>
          </cell>
          <cell r="C1938" t="str">
            <v>013251724_LM_Chancyllo</v>
          </cell>
          <cell r="D1938" t="str">
            <v>M0854</v>
          </cell>
          <cell r="E1938" t="str">
            <v>RANCO TDD 2026</v>
          </cell>
          <cell r="F1938" t="str">
            <v>Expansiones</v>
          </cell>
          <cell r="G1938">
            <v>2026</v>
          </cell>
          <cell r="H1938" t="str">
            <v>Q2</v>
          </cell>
          <cell r="I1938" t="str">
            <v>Jason olivos</v>
          </cell>
          <cell r="J1938" t="str">
            <v>NO RFI</v>
          </cell>
          <cell r="K1938">
            <v>46069</v>
          </cell>
        </row>
        <row r="1939">
          <cell r="B1939" t="str">
            <v>EXP_RancoTDDQ22026_426</v>
          </cell>
          <cell r="C1939" t="str">
            <v>0134551_LM_San_Luis_Ura</v>
          </cell>
          <cell r="D1939" t="str">
            <v>M0854</v>
          </cell>
          <cell r="E1939" t="str">
            <v>RANCO TDD 2026</v>
          </cell>
          <cell r="F1939" t="str">
            <v>Expansiones</v>
          </cell>
          <cell r="G1939">
            <v>2026</v>
          </cell>
          <cell r="H1939" t="str">
            <v>Q2</v>
          </cell>
          <cell r="I1939" t="str">
            <v>Jason olivos</v>
          </cell>
          <cell r="J1939" t="str">
            <v>NO RFI</v>
          </cell>
          <cell r="K1939">
            <v>46069</v>
          </cell>
        </row>
        <row r="1940">
          <cell r="B1940" t="str">
            <v>EXP_RancoTDDQ22026_427</v>
          </cell>
          <cell r="C1940" t="str">
            <v>0132012_AN_Casma</v>
          </cell>
          <cell r="D1940" t="str">
            <v>M0854</v>
          </cell>
          <cell r="E1940" t="str">
            <v>RANCO TDD 2026</v>
          </cell>
          <cell r="F1940" t="str">
            <v>Expansiones</v>
          </cell>
          <cell r="G1940">
            <v>2026</v>
          </cell>
          <cell r="H1940" t="str">
            <v>Q2</v>
          </cell>
          <cell r="I1940" t="str">
            <v>Jason olivos</v>
          </cell>
          <cell r="J1940" t="str">
            <v>NO RFI</v>
          </cell>
          <cell r="K1940">
            <v>46069</v>
          </cell>
        </row>
        <row r="1941">
          <cell r="B1941" t="str">
            <v>EXP_RancoTDDQ22026_428</v>
          </cell>
          <cell r="C1941" t="str">
            <v>0132019_AN_Santa</v>
          </cell>
          <cell r="D1941" t="str">
            <v>M0854</v>
          </cell>
          <cell r="E1941" t="str">
            <v>RANCO TDD 2026</v>
          </cell>
          <cell r="F1941" t="str">
            <v>Expansiones</v>
          </cell>
          <cell r="G1941">
            <v>2026</v>
          </cell>
          <cell r="H1941" t="str">
            <v>Q2</v>
          </cell>
          <cell r="I1941" t="str">
            <v>Jason olivos</v>
          </cell>
          <cell r="J1941" t="str">
            <v>NO RFI</v>
          </cell>
          <cell r="K1941">
            <v>46069</v>
          </cell>
        </row>
        <row r="1942">
          <cell r="B1942" t="str">
            <v>EXP_RancoTDDQ22026_429</v>
          </cell>
          <cell r="C1942" t="str">
            <v>0134846_LM_Pueblo_Aucallama</v>
          </cell>
          <cell r="D1942" t="str">
            <v>M0854</v>
          </cell>
          <cell r="E1942" t="str">
            <v>RANCO TDD 2026</v>
          </cell>
          <cell r="F1942" t="str">
            <v>Expansiones</v>
          </cell>
          <cell r="G1942">
            <v>2026</v>
          </cell>
          <cell r="H1942" t="str">
            <v>Q2</v>
          </cell>
          <cell r="I1942" t="str">
            <v>Jason olivos</v>
          </cell>
          <cell r="J1942" t="str">
            <v>NO RFI</v>
          </cell>
          <cell r="K1942">
            <v>46069</v>
          </cell>
        </row>
        <row r="1943">
          <cell r="B1943" t="str">
            <v>EXP_RancoTDDQ22026_430</v>
          </cell>
          <cell r="C1943" t="str">
            <v>0130400_LM_Pampa_Melchorita</v>
          </cell>
          <cell r="D1943" t="str">
            <v>M0854</v>
          </cell>
          <cell r="E1943" t="str">
            <v>RANCO TDD 2026</v>
          </cell>
          <cell r="F1943" t="str">
            <v>Expansiones</v>
          </cell>
          <cell r="G1943">
            <v>2026</v>
          </cell>
          <cell r="H1943" t="str">
            <v>Q2</v>
          </cell>
          <cell r="I1943" t="str">
            <v>Jason olivos</v>
          </cell>
          <cell r="J1943" t="str">
            <v>NO RFI</v>
          </cell>
          <cell r="K1943">
            <v>46069</v>
          </cell>
        </row>
        <row r="1944">
          <cell r="B1944" t="str">
            <v>EXP_RancoTDDQ22026_431</v>
          </cell>
          <cell r="C1944" t="str">
            <v>013252579_LM_Quepepampa</v>
          </cell>
          <cell r="D1944" t="str">
            <v>M0854</v>
          </cell>
          <cell r="E1944" t="str">
            <v>RANCO TDD 2026</v>
          </cell>
          <cell r="F1944" t="str">
            <v>Expansiones</v>
          </cell>
          <cell r="G1944">
            <v>2026</v>
          </cell>
          <cell r="H1944" t="str">
            <v>Q2</v>
          </cell>
          <cell r="I1944" t="str">
            <v>Jason olivos</v>
          </cell>
          <cell r="J1944" t="str">
            <v>NO RFI</v>
          </cell>
          <cell r="K1944">
            <v>46069</v>
          </cell>
        </row>
        <row r="1945">
          <cell r="B1945" t="str">
            <v>EXP_RancoTDDQ22026_432</v>
          </cell>
          <cell r="C1945" t="str">
            <v>0134025_UY_San_Alejandro</v>
          </cell>
          <cell r="D1945" t="str">
            <v>M0854</v>
          </cell>
          <cell r="E1945" t="str">
            <v>RANCO TDD 2026</v>
          </cell>
          <cell r="F1945" t="str">
            <v>Expansiones</v>
          </cell>
          <cell r="G1945">
            <v>2026</v>
          </cell>
          <cell r="H1945" t="str">
            <v>Q2</v>
          </cell>
          <cell r="I1945" t="str">
            <v>Jason olivos</v>
          </cell>
          <cell r="J1945" t="str">
            <v>NO RFI</v>
          </cell>
          <cell r="K1945">
            <v>46069</v>
          </cell>
        </row>
        <row r="1946">
          <cell r="B1946" t="str">
            <v>EXP_RancoTDDQ22026_433</v>
          </cell>
          <cell r="C1946" t="str">
            <v>013211145_IC_SanJoseVillacuri</v>
          </cell>
          <cell r="D1946" t="str">
            <v>M0854</v>
          </cell>
          <cell r="E1946" t="str">
            <v>RANCO TDD 2026</v>
          </cell>
          <cell r="F1946" t="str">
            <v>Expansiones</v>
          </cell>
          <cell r="G1946">
            <v>2026</v>
          </cell>
          <cell r="H1946" t="str">
            <v>Q2</v>
          </cell>
          <cell r="I1946" t="str">
            <v>Jason olivos</v>
          </cell>
          <cell r="J1946" t="str">
            <v>NO RFI</v>
          </cell>
          <cell r="K1946">
            <v>46069</v>
          </cell>
        </row>
        <row r="1947">
          <cell r="B1947" t="str">
            <v>EXP_RancoTDDQ22026_434</v>
          </cell>
          <cell r="C1947" t="str">
            <v>013230040_LI_Carrion_Salvador</v>
          </cell>
          <cell r="D1947" t="str">
            <v>M0854</v>
          </cell>
          <cell r="E1947" t="str">
            <v>RANCO TDD 2026</v>
          </cell>
          <cell r="F1947" t="str">
            <v>Expansiones</v>
          </cell>
          <cell r="G1947">
            <v>2026</v>
          </cell>
          <cell r="H1947" t="str">
            <v>Q2</v>
          </cell>
          <cell r="I1947" t="str">
            <v>Jason olivos</v>
          </cell>
          <cell r="J1947" t="str">
            <v>NO RFI</v>
          </cell>
          <cell r="K1947">
            <v>46069</v>
          </cell>
        </row>
        <row r="1948">
          <cell r="B1948" t="str">
            <v>EXP_RancoTDDQ22026_435</v>
          </cell>
          <cell r="C1948" t="str">
            <v>0134195_LI_Huamachuco_Estadio</v>
          </cell>
          <cell r="D1948" t="str">
            <v>M0854</v>
          </cell>
          <cell r="E1948" t="str">
            <v>RANCO TDD 2026</v>
          </cell>
          <cell r="F1948" t="str">
            <v>Expansiones</v>
          </cell>
          <cell r="G1948">
            <v>2026</v>
          </cell>
          <cell r="H1948" t="str">
            <v>Q2</v>
          </cell>
          <cell r="I1948" t="str">
            <v>Jason olivos</v>
          </cell>
          <cell r="J1948" t="str">
            <v>NO RFI</v>
          </cell>
          <cell r="K1948">
            <v>46069</v>
          </cell>
        </row>
        <row r="1949">
          <cell r="B1949" t="str">
            <v>EXP_RancoTDDQ22026_436</v>
          </cell>
          <cell r="C1949" t="str">
            <v>0131517_CA_Estacion_Cajamarca</v>
          </cell>
          <cell r="D1949" t="str">
            <v>M0854</v>
          </cell>
          <cell r="E1949" t="str">
            <v>RANCO TDD 2026</v>
          </cell>
          <cell r="F1949" t="str">
            <v>Expansiones</v>
          </cell>
          <cell r="G1949">
            <v>2026</v>
          </cell>
          <cell r="H1949" t="str">
            <v>Q2</v>
          </cell>
          <cell r="I1949" t="str">
            <v>Jason olivos</v>
          </cell>
          <cell r="J1949" t="str">
            <v>NO RFI</v>
          </cell>
          <cell r="K1949">
            <v>46069</v>
          </cell>
        </row>
        <row r="1950">
          <cell r="B1950" t="str">
            <v>EXP_RancoTDDQ22026_437</v>
          </cell>
          <cell r="C1950" t="str">
            <v>013261302_LO_Diresa</v>
          </cell>
          <cell r="D1950" t="str">
            <v>M0854</v>
          </cell>
          <cell r="E1950" t="str">
            <v>RANCO TDD 2026</v>
          </cell>
          <cell r="F1950" t="str">
            <v>Expansiones</v>
          </cell>
          <cell r="G1950">
            <v>2026</v>
          </cell>
          <cell r="H1950" t="str">
            <v>Q2</v>
          </cell>
          <cell r="I1950" t="str">
            <v>Jason olivos</v>
          </cell>
          <cell r="J1950" t="str">
            <v>NO RFI</v>
          </cell>
          <cell r="K1950">
            <v>46069</v>
          </cell>
        </row>
        <row r="1951">
          <cell r="B1951" t="str">
            <v>EXP_RancoTDDQ22026_438</v>
          </cell>
          <cell r="C1951" t="str">
            <v>013252580_LM_La_Quebrada</v>
          </cell>
          <cell r="D1951" t="str">
            <v>M0854</v>
          </cell>
          <cell r="E1951" t="str">
            <v>RANCO TDD 2026</v>
          </cell>
          <cell r="F1951" t="str">
            <v>Expansiones</v>
          </cell>
          <cell r="G1951">
            <v>2026</v>
          </cell>
          <cell r="H1951" t="str">
            <v>Q2</v>
          </cell>
          <cell r="I1951" t="str">
            <v>Jason olivos</v>
          </cell>
          <cell r="J1951" t="str">
            <v>NO RFI</v>
          </cell>
          <cell r="K1951">
            <v>46069</v>
          </cell>
        </row>
        <row r="1952">
          <cell r="B1952" t="str">
            <v>EXP_RancoTDDQ22026_439</v>
          </cell>
          <cell r="C1952" t="str">
            <v>0133464_LO_Corredor_Belen</v>
          </cell>
          <cell r="D1952" t="str">
            <v>M0854</v>
          </cell>
          <cell r="E1952" t="str">
            <v>RANCO TDD 2026</v>
          </cell>
          <cell r="F1952" t="str">
            <v>Expansiones</v>
          </cell>
          <cell r="G1952">
            <v>2026</v>
          </cell>
          <cell r="H1952" t="str">
            <v>Q2</v>
          </cell>
          <cell r="I1952" t="str">
            <v>Jason olivos</v>
          </cell>
          <cell r="J1952" t="str">
            <v>NO RFI</v>
          </cell>
          <cell r="K1952">
            <v>46069</v>
          </cell>
        </row>
        <row r="1953">
          <cell r="B1953" t="str">
            <v>EXP_RancoTDDQ22026_440</v>
          </cell>
          <cell r="C1953" t="str">
            <v>0132378_SM_Soritor</v>
          </cell>
          <cell r="D1953" t="str">
            <v>M0854</v>
          </cell>
          <cell r="E1953" t="str">
            <v>RANCO TDD 2026</v>
          </cell>
          <cell r="F1953" t="str">
            <v>Expansiones</v>
          </cell>
          <cell r="G1953">
            <v>2026</v>
          </cell>
          <cell r="H1953" t="str">
            <v>Q2</v>
          </cell>
          <cell r="I1953" t="str">
            <v>Jason olivos</v>
          </cell>
          <cell r="J1953" t="str">
            <v>NO RFI</v>
          </cell>
          <cell r="K1953">
            <v>46069</v>
          </cell>
        </row>
        <row r="1954">
          <cell r="B1954" t="str">
            <v>EXP_RancoTDDQ22026_441</v>
          </cell>
          <cell r="C1954" t="str">
            <v>0134788_UY_Alborizacion</v>
          </cell>
          <cell r="D1954" t="str">
            <v>M0854</v>
          </cell>
          <cell r="E1954" t="str">
            <v>RANCO TDD 2026</v>
          </cell>
          <cell r="F1954" t="str">
            <v>Expansiones</v>
          </cell>
          <cell r="G1954">
            <v>2026</v>
          </cell>
          <cell r="H1954" t="str">
            <v>Q2</v>
          </cell>
          <cell r="I1954" t="str">
            <v>Jason olivos</v>
          </cell>
          <cell r="J1954" t="str">
            <v>NO RFI</v>
          </cell>
          <cell r="K1954">
            <v>46069</v>
          </cell>
        </row>
        <row r="1955">
          <cell r="B1955" t="str">
            <v>EXP_RancoTDDQ22026_442</v>
          </cell>
          <cell r="C1955" t="str">
            <v>013251024_LM_Los_Arenales_Barranca</v>
          </cell>
          <cell r="D1955" t="str">
            <v>M0854</v>
          </cell>
          <cell r="E1955" t="str">
            <v>RANCO TDD 2026</v>
          </cell>
          <cell r="F1955" t="str">
            <v>Expansiones</v>
          </cell>
          <cell r="G1955">
            <v>2026</v>
          </cell>
          <cell r="H1955" t="str">
            <v>Q2</v>
          </cell>
          <cell r="I1955" t="str">
            <v>Jason olivos</v>
          </cell>
          <cell r="J1955" t="str">
            <v>NO RFI</v>
          </cell>
          <cell r="K1955">
            <v>46069</v>
          </cell>
        </row>
        <row r="1956">
          <cell r="B1956" t="str">
            <v>EXP_RancoTDDQ22026_443</v>
          </cell>
          <cell r="C1956" t="str">
            <v>0130919_AQ_La_Joya</v>
          </cell>
          <cell r="D1956" t="str">
            <v>M0854</v>
          </cell>
          <cell r="E1956" t="str">
            <v>RANCO TDD 2026</v>
          </cell>
          <cell r="F1956" t="str">
            <v>Expansiones</v>
          </cell>
          <cell r="G1956">
            <v>2026</v>
          </cell>
          <cell r="H1956" t="str">
            <v>Q2</v>
          </cell>
          <cell r="I1956" t="str">
            <v>Jason olivos</v>
          </cell>
          <cell r="J1956" t="str">
            <v>NO RFI</v>
          </cell>
          <cell r="K1956">
            <v>46069</v>
          </cell>
        </row>
        <row r="1957">
          <cell r="B1957" t="str">
            <v>EXP_COIAdicional3.5_1</v>
          </cell>
          <cell r="C1957" t="str">
            <v>0130007_LM_Bellavista</v>
          </cell>
          <cell r="D1957" t="str">
            <v>M0840</v>
          </cell>
          <cell r="E1957" t="str">
            <v>COI ADICIONAL 2026</v>
          </cell>
          <cell r="F1957" t="str">
            <v>Expansiones</v>
          </cell>
          <cell r="G1957">
            <v>2026</v>
          </cell>
          <cell r="H1957" t="str">
            <v>Q1</v>
          </cell>
          <cell r="I1957" t="str">
            <v>Nicole Aquino</v>
          </cell>
          <cell r="J1957" t="str">
            <v>NO RFI</v>
          </cell>
          <cell r="K1957">
            <v>46069</v>
          </cell>
        </row>
        <row r="1958">
          <cell r="B1958" t="str">
            <v>EXP_COIAdicional3.5_2</v>
          </cell>
          <cell r="C1958" t="str">
            <v>0130104_LM_Mariategui</v>
          </cell>
          <cell r="D1958" t="str">
            <v>M0840</v>
          </cell>
          <cell r="E1958" t="str">
            <v>COI ADICIONAL 2026</v>
          </cell>
          <cell r="F1958" t="str">
            <v>Expansiones</v>
          </cell>
          <cell r="G1958">
            <v>2026</v>
          </cell>
          <cell r="H1958" t="str">
            <v>Q1</v>
          </cell>
          <cell r="I1958" t="str">
            <v>Nicole Aquino</v>
          </cell>
          <cell r="J1958" t="str">
            <v>NO RFI</v>
          </cell>
          <cell r="K1958">
            <v>46069</v>
          </cell>
        </row>
        <row r="1959">
          <cell r="B1959" t="str">
            <v>EXP_COIAdicional3.5_3</v>
          </cell>
          <cell r="C1959" t="str">
            <v>0130123_LM_Videna</v>
          </cell>
          <cell r="D1959" t="str">
            <v>M0840</v>
          </cell>
          <cell r="E1959" t="str">
            <v>COI ADICIONAL 2026</v>
          </cell>
          <cell r="F1959" t="str">
            <v>Expansiones</v>
          </cell>
          <cell r="G1959">
            <v>2026</v>
          </cell>
          <cell r="H1959" t="str">
            <v>Q1</v>
          </cell>
          <cell r="I1959" t="str">
            <v>Nicole Aquino</v>
          </cell>
          <cell r="J1959" t="str">
            <v>NO RFI</v>
          </cell>
          <cell r="K1959">
            <v>46069</v>
          </cell>
        </row>
        <row r="1960">
          <cell r="B1960" t="str">
            <v>EXP_COIAdicional3.5_4</v>
          </cell>
          <cell r="C1960" t="str">
            <v>0130366_LM_Vallecito_Bajo</v>
          </cell>
          <cell r="D1960" t="str">
            <v>M0840</v>
          </cell>
          <cell r="E1960" t="str">
            <v>COI ADICIONAL 2026</v>
          </cell>
          <cell r="F1960" t="str">
            <v>Expansiones</v>
          </cell>
          <cell r="G1960">
            <v>2026</v>
          </cell>
          <cell r="H1960" t="str">
            <v>Q1</v>
          </cell>
          <cell r="I1960" t="str">
            <v>Nicole Aquino</v>
          </cell>
          <cell r="J1960" t="str">
            <v>NO RFI</v>
          </cell>
          <cell r="K1960">
            <v>46069</v>
          </cell>
        </row>
        <row r="1961">
          <cell r="B1961" t="str">
            <v>EXP_COIAdicional3.5_5</v>
          </cell>
          <cell r="C1961" t="str">
            <v>0130369_LM_Universidad_UNTEC</v>
          </cell>
          <cell r="D1961" t="str">
            <v>M0840</v>
          </cell>
          <cell r="E1961" t="str">
            <v>COI ADICIONAL 2026</v>
          </cell>
          <cell r="F1961" t="str">
            <v>Expansiones</v>
          </cell>
          <cell r="G1961">
            <v>2026</v>
          </cell>
          <cell r="H1961" t="str">
            <v>Q1</v>
          </cell>
          <cell r="I1961" t="str">
            <v>Nicole Aquino</v>
          </cell>
          <cell r="J1961" t="str">
            <v>NO RFI</v>
          </cell>
          <cell r="K1961">
            <v>46069</v>
          </cell>
        </row>
        <row r="1962">
          <cell r="B1962" t="str">
            <v>EXP_COIAdicional3.5_6</v>
          </cell>
          <cell r="C1962" t="str">
            <v>0130437_LM_Del_Aire</v>
          </cell>
          <cell r="D1962" t="str">
            <v>M0840</v>
          </cell>
          <cell r="E1962" t="str">
            <v>COI ADICIONAL 2026</v>
          </cell>
          <cell r="F1962" t="str">
            <v>Expansiones</v>
          </cell>
          <cell r="G1962">
            <v>2026</v>
          </cell>
          <cell r="H1962" t="str">
            <v>Q1</v>
          </cell>
          <cell r="I1962" t="str">
            <v>Nicole Aquino</v>
          </cell>
          <cell r="J1962" t="str">
            <v>NO RFI</v>
          </cell>
          <cell r="K1962">
            <v>46069</v>
          </cell>
        </row>
        <row r="1963">
          <cell r="B1963" t="str">
            <v>EXP_COIAdicional3.5_7</v>
          </cell>
          <cell r="C1963" t="str">
            <v>0130660_LI_Hospital_Belen</v>
          </cell>
          <cell r="D1963" t="str">
            <v>M0840</v>
          </cell>
          <cell r="E1963" t="str">
            <v>COI ADICIONAL 2026</v>
          </cell>
          <cell r="F1963" t="str">
            <v>Expansiones</v>
          </cell>
          <cell r="G1963">
            <v>2026</v>
          </cell>
          <cell r="H1963" t="str">
            <v>Q1</v>
          </cell>
          <cell r="I1963" t="str">
            <v>Nicole Aquino</v>
          </cell>
          <cell r="J1963" t="str">
            <v>NO RFI</v>
          </cell>
          <cell r="K1963">
            <v>46069</v>
          </cell>
        </row>
        <row r="1964">
          <cell r="B1964" t="str">
            <v>EXP_COIAdicional3.5_8</v>
          </cell>
          <cell r="C1964" t="str">
            <v>0130697_LI_Manchester</v>
          </cell>
          <cell r="D1964" t="str">
            <v>M0840</v>
          </cell>
          <cell r="E1964" t="str">
            <v>COI ADICIONAL 2026</v>
          </cell>
          <cell r="F1964" t="str">
            <v>Expansiones</v>
          </cell>
          <cell r="G1964">
            <v>2026</v>
          </cell>
          <cell r="H1964" t="str">
            <v>Q1</v>
          </cell>
          <cell r="I1964" t="str">
            <v>Nicole Aquino</v>
          </cell>
          <cell r="J1964" t="str">
            <v>NO RFI</v>
          </cell>
          <cell r="K1964">
            <v>46069</v>
          </cell>
        </row>
        <row r="1965">
          <cell r="B1965" t="str">
            <v>EXP_COIAdicional3.5_9</v>
          </cell>
          <cell r="C1965" t="str">
            <v>0131069_LM_Barrio_Obrero_Ate</v>
          </cell>
          <cell r="D1965" t="str">
            <v>M0840</v>
          </cell>
          <cell r="E1965" t="str">
            <v>COI ADICIONAL 2026</v>
          </cell>
          <cell r="F1965" t="str">
            <v>Expansiones</v>
          </cell>
          <cell r="G1965">
            <v>2026</v>
          </cell>
          <cell r="H1965" t="str">
            <v>Q1</v>
          </cell>
          <cell r="I1965" t="str">
            <v>Nicole Aquino</v>
          </cell>
          <cell r="J1965" t="str">
            <v>NO RFI</v>
          </cell>
          <cell r="K1965">
            <v>46069</v>
          </cell>
        </row>
        <row r="1966">
          <cell r="B1966" t="str">
            <v>EXP_COIAdicional3.5_10</v>
          </cell>
          <cell r="C1966" t="str">
            <v>0131323_CS_Estadio_Garcilazo</v>
          </cell>
          <cell r="D1966" t="str">
            <v>M0840</v>
          </cell>
          <cell r="E1966" t="str">
            <v>COI ADICIONAL 2026</v>
          </cell>
          <cell r="F1966" t="str">
            <v>Expansiones</v>
          </cell>
          <cell r="G1966">
            <v>2026</v>
          </cell>
          <cell r="H1966" t="str">
            <v>Q1</v>
          </cell>
          <cell r="I1966" t="str">
            <v>Nicole Aquino</v>
          </cell>
          <cell r="J1966" t="str">
            <v>NO RFI</v>
          </cell>
          <cell r="K1966">
            <v>46069</v>
          </cell>
        </row>
        <row r="1967">
          <cell r="B1967" t="str">
            <v>EXP_COIAdicional3.5_11</v>
          </cell>
          <cell r="C1967" t="str">
            <v>0131336_CS_Feria_Huancaro</v>
          </cell>
          <cell r="D1967" t="str">
            <v>M0840</v>
          </cell>
          <cell r="E1967" t="str">
            <v>COI ADICIONAL 2026</v>
          </cell>
          <cell r="F1967" t="str">
            <v>Expansiones</v>
          </cell>
          <cell r="G1967">
            <v>2026</v>
          </cell>
          <cell r="H1967" t="str">
            <v>Q1</v>
          </cell>
          <cell r="I1967" t="str">
            <v>Nicole Aquino</v>
          </cell>
          <cell r="J1967" t="str">
            <v>NO RFI</v>
          </cell>
          <cell r="K1967">
            <v>46069</v>
          </cell>
        </row>
        <row r="1968">
          <cell r="B1968" t="str">
            <v>EXP_COIAdicional3.5_12</v>
          </cell>
          <cell r="C1968" t="str">
            <v>0131337_CS_Zarzuela_Cusco</v>
          </cell>
          <cell r="D1968" t="str">
            <v>M0840</v>
          </cell>
          <cell r="E1968" t="str">
            <v>COI ADICIONAL 2026</v>
          </cell>
          <cell r="F1968" t="str">
            <v>Expansiones</v>
          </cell>
          <cell r="G1968">
            <v>2026</v>
          </cell>
          <cell r="H1968" t="str">
            <v>Q1</v>
          </cell>
          <cell r="I1968" t="str">
            <v>Nicole Aquino</v>
          </cell>
          <cell r="J1968" t="str">
            <v>NO RFI</v>
          </cell>
          <cell r="K1968">
            <v>46069</v>
          </cell>
        </row>
        <row r="1969">
          <cell r="B1969" t="str">
            <v>EXP_COIAdicional3.5_13</v>
          </cell>
          <cell r="C1969" t="str">
            <v>0131366_LM_Hosp_Bravo_Chico</v>
          </cell>
          <cell r="D1969" t="str">
            <v>M0840</v>
          </cell>
          <cell r="E1969" t="str">
            <v>COI ADICIONAL 2026</v>
          </cell>
          <cell r="F1969" t="str">
            <v>Expansiones</v>
          </cell>
          <cell r="G1969">
            <v>2026</v>
          </cell>
          <cell r="H1969" t="str">
            <v>Q1</v>
          </cell>
          <cell r="I1969" t="str">
            <v>Nicole Aquino</v>
          </cell>
          <cell r="J1969" t="str">
            <v>NO RFI</v>
          </cell>
          <cell r="K1969">
            <v>46069</v>
          </cell>
        </row>
        <row r="1970">
          <cell r="B1970" t="str">
            <v>EXP_COIAdicional3.5_14</v>
          </cell>
          <cell r="C1970" t="str">
            <v>013140059_AQ_Cooperativa_Uni</v>
          </cell>
          <cell r="D1970" t="str">
            <v>M0840</v>
          </cell>
          <cell r="E1970" t="str">
            <v>COI ADICIONAL 2026</v>
          </cell>
          <cell r="F1970" t="str">
            <v>Expansiones</v>
          </cell>
          <cell r="G1970">
            <v>2026</v>
          </cell>
          <cell r="H1970" t="str">
            <v>Q1</v>
          </cell>
          <cell r="I1970" t="str">
            <v>Nicole Aquino</v>
          </cell>
          <cell r="J1970" t="str">
            <v>NO RFI</v>
          </cell>
          <cell r="K1970">
            <v>46069</v>
          </cell>
        </row>
        <row r="1971">
          <cell r="B1971" t="str">
            <v>EXP_COIAdicional3.5_15</v>
          </cell>
          <cell r="C1971" t="str">
            <v>0131446_PN_Estadio_Capilla</v>
          </cell>
          <cell r="D1971" t="str">
            <v>M0840</v>
          </cell>
          <cell r="E1971" t="str">
            <v>COI ADICIONAL 2026</v>
          </cell>
          <cell r="F1971" t="str">
            <v>Expansiones</v>
          </cell>
          <cell r="G1971">
            <v>2026</v>
          </cell>
          <cell r="H1971" t="str">
            <v>Q1</v>
          </cell>
          <cell r="I1971" t="str">
            <v>Nicole Aquino</v>
          </cell>
          <cell r="J1971" t="str">
            <v>NO RFI</v>
          </cell>
          <cell r="K1971">
            <v>46069</v>
          </cell>
        </row>
        <row r="1972">
          <cell r="B1972" t="str">
            <v>EXP_COIAdicional3.5_16</v>
          </cell>
          <cell r="C1972" t="str">
            <v>013162521_CA_Gran_Qhapac_Nan</v>
          </cell>
          <cell r="D1972" t="str">
            <v>M0840</v>
          </cell>
          <cell r="E1972" t="str">
            <v>COI ADICIONAL 2026</v>
          </cell>
          <cell r="F1972" t="str">
            <v>Expansiones</v>
          </cell>
          <cell r="G1972">
            <v>2026</v>
          </cell>
          <cell r="H1972" t="str">
            <v>Q1</v>
          </cell>
          <cell r="I1972" t="str">
            <v>Nicole Aquino</v>
          </cell>
          <cell r="J1972" t="str">
            <v>NO RFI</v>
          </cell>
          <cell r="K1972">
            <v>46069</v>
          </cell>
        </row>
        <row r="1973">
          <cell r="B1973" t="str">
            <v>EXP_COIAdicional3.5_17</v>
          </cell>
          <cell r="C1973" t="str">
            <v>0131626_JU_Esalud_Huancayo</v>
          </cell>
          <cell r="D1973" t="str">
            <v>M0840</v>
          </cell>
          <cell r="E1973" t="str">
            <v>COI ADICIONAL 2026</v>
          </cell>
          <cell r="F1973" t="str">
            <v>Expansiones</v>
          </cell>
          <cell r="G1973">
            <v>2026</v>
          </cell>
          <cell r="H1973" t="str">
            <v>Q1</v>
          </cell>
          <cell r="I1973" t="str">
            <v>Nicole Aquino</v>
          </cell>
          <cell r="J1973" t="str">
            <v>NO RFI</v>
          </cell>
          <cell r="K1973">
            <v>46069</v>
          </cell>
        </row>
        <row r="1974">
          <cell r="B1974" t="str">
            <v>EXP_COIAdicional3.5_18</v>
          </cell>
          <cell r="C1974" t="str">
            <v>0131633_JU_Antunez</v>
          </cell>
          <cell r="D1974" t="str">
            <v>M0840</v>
          </cell>
          <cell r="E1974" t="str">
            <v>COI ADICIONAL 2026</v>
          </cell>
          <cell r="F1974" t="str">
            <v>Expansiones</v>
          </cell>
          <cell r="G1974">
            <v>2026</v>
          </cell>
          <cell r="H1974" t="str">
            <v>Q1</v>
          </cell>
          <cell r="I1974" t="str">
            <v>Nicole Aquino</v>
          </cell>
          <cell r="J1974" t="str">
            <v>NO RFI</v>
          </cell>
          <cell r="K1974">
            <v>46069</v>
          </cell>
        </row>
        <row r="1975">
          <cell r="B1975" t="str">
            <v>EXP_COIAdicional3.5_19</v>
          </cell>
          <cell r="C1975" t="str">
            <v>0131635_JU_Undac</v>
          </cell>
          <cell r="D1975" t="str">
            <v>M0840</v>
          </cell>
          <cell r="E1975" t="str">
            <v>COI ADICIONAL 2026</v>
          </cell>
          <cell r="F1975" t="str">
            <v>Expansiones</v>
          </cell>
          <cell r="G1975">
            <v>2026</v>
          </cell>
          <cell r="H1975" t="str">
            <v>Q1</v>
          </cell>
          <cell r="I1975" t="str">
            <v>Nicole Aquino</v>
          </cell>
          <cell r="J1975" t="str">
            <v>NO RFI</v>
          </cell>
          <cell r="K1975">
            <v>46069</v>
          </cell>
        </row>
        <row r="1976">
          <cell r="B1976" t="str">
            <v>EXP_COIAdicional3.5_20</v>
          </cell>
          <cell r="C1976" t="str">
            <v>0131651_JU_Colegio_Ricardo</v>
          </cell>
          <cell r="D1976" t="str">
            <v>M0840</v>
          </cell>
          <cell r="E1976" t="str">
            <v>COI ADICIONAL 2026</v>
          </cell>
          <cell r="F1976" t="str">
            <v>Expansiones</v>
          </cell>
          <cell r="G1976">
            <v>2026</v>
          </cell>
          <cell r="H1976" t="str">
            <v>Q1</v>
          </cell>
          <cell r="I1976" t="str">
            <v>Nicole Aquino</v>
          </cell>
          <cell r="J1976" t="str">
            <v>NO RFI</v>
          </cell>
          <cell r="K1976">
            <v>46069</v>
          </cell>
        </row>
        <row r="1977">
          <cell r="B1977" t="str">
            <v>EXP_COIAdicional3.5_21</v>
          </cell>
          <cell r="C1977" t="str">
            <v>0131673_JU_Univ_Continental</v>
          </cell>
          <cell r="D1977" t="str">
            <v>M0840</v>
          </cell>
          <cell r="E1977" t="str">
            <v>COI ADICIONAL 2026</v>
          </cell>
          <cell r="F1977" t="str">
            <v>Expansiones</v>
          </cell>
          <cell r="G1977">
            <v>2026</v>
          </cell>
          <cell r="H1977" t="str">
            <v>Q1</v>
          </cell>
          <cell r="I1977" t="str">
            <v>Nicole Aquino</v>
          </cell>
          <cell r="J1977" t="str">
            <v>NO RFI</v>
          </cell>
          <cell r="K1977">
            <v>46069</v>
          </cell>
        </row>
        <row r="1978">
          <cell r="B1978" t="str">
            <v>EXP_COIAdicional3.5_22</v>
          </cell>
          <cell r="C1978" t="str">
            <v>0131680_JU_Hospital_Alcides</v>
          </cell>
          <cell r="D1978" t="str">
            <v>M0840</v>
          </cell>
          <cell r="E1978" t="str">
            <v>COI ADICIONAL 2026</v>
          </cell>
          <cell r="F1978" t="str">
            <v>Expansiones</v>
          </cell>
          <cell r="G1978">
            <v>2026</v>
          </cell>
          <cell r="H1978" t="str">
            <v>Q1</v>
          </cell>
          <cell r="I1978" t="str">
            <v>Nicole Aquino</v>
          </cell>
          <cell r="J1978" t="str">
            <v>NO RFI</v>
          </cell>
          <cell r="K1978">
            <v>46069</v>
          </cell>
        </row>
        <row r="1979">
          <cell r="B1979" t="str">
            <v>EXP_COIAdicional3.5_23</v>
          </cell>
          <cell r="C1979" t="str">
            <v>013170908_LM_Centro_Medico_Naval</v>
          </cell>
          <cell r="D1979" t="str">
            <v>M0840</v>
          </cell>
          <cell r="E1979" t="str">
            <v>COI ADICIONAL 2026</v>
          </cell>
          <cell r="F1979" t="str">
            <v>Expansiones</v>
          </cell>
          <cell r="G1979">
            <v>2026</v>
          </cell>
          <cell r="H1979" t="str">
            <v>Q1</v>
          </cell>
          <cell r="I1979" t="str">
            <v>Nicole Aquino</v>
          </cell>
          <cell r="J1979" t="str">
            <v>NO RFI</v>
          </cell>
          <cell r="K1979">
            <v>46069</v>
          </cell>
        </row>
        <row r="1980">
          <cell r="B1980" t="str">
            <v>EXP_COIAdicional3.5_24</v>
          </cell>
          <cell r="C1980" t="str">
            <v>0132182_LM_Cayetano_Heredia</v>
          </cell>
          <cell r="D1980" t="str">
            <v>M0840</v>
          </cell>
          <cell r="E1980" t="str">
            <v>COI ADICIONAL 2026</v>
          </cell>
          <cell r="F1980" t="str">
            <v>Expansiones</v>
          </cell>
          <cell r="G1980">
            <v>2026</v>
          </cell>
          <cell r="H1980" t="str">
            <v>Q1</v>
          </cell>
          <cell r="I1980" t="str">
            <v>Nicole Aquino</v>
          </cell>
          <cell r="J1980" t="str">
            <v>NO RFI</v>
          </cell>
          <cell r="K1980">
            <v>46069</v>
          </cell>
        </row>
        <row r="1981">
          <cell r="B1981" t="str">
            <v>EXP_COIAdicional3.5_25</v>
          </cell>
          <cell r="C1981" t="str">
            <v>013221741_JU_Puente_Shullcas</v>
          </cell>
          <cell r="D1981" t="str">
            <v>M0840</v>
          </cell>
          <cell r="E1981" t="str">
            <v>COI ADICIONAL 2026</v>
          </cell>
          <cell r="F1981" t="str">
            <v>Expansiones</v>
          </cell>
          <cell r="G1981">
            <v>2026</v>
          </cell>
          <cell r="H1981" t="str">
            <v>Q1</v>
          </cell>
          <cell r="I1981" t="str">
            <v>Nicole Aquino</v>
          </cell>
          <cell r="J1981" t="str">
            <v>NO RFI</v>
          </cell>
          <cell r="K1981">
            <v>46069</v>
          </cell>
        </row>
        <row r="1982">
          <cell r="B1982" t="str">
            <v>EXP_COIAdicional3.5_26</v>
          </cell>
          <cell r="C1982" t="str">
            <v>013222367_JU_Puente_Pichanaki</v>
          </cell>
          <cell r="D1982" t="str">
            <v>M0840</v>
          </cell>
          <cell r="E1982" t="str">
            <v>COI ADICIONAL 2026</v>
          </cell>
          <cell r="F1982" t="str">
            <v>Expansiones</v>
          </cell>
          <cell r="G1982">
            <v>2026</v>
          </cell>
          <cell r="H1982" t="str">
            <v>Q1</v>
          </cell>
          <cell r="I1982" t="str">
            <v>Nicole Aquino</v>
          </cell>
          <cell r="J1982" t="str">
            <v>NO RFI</v>
          </cell>
          <cell r="K1982">
            <v>46069</v>
          </cell>
        </row>
        <row r="1983">
          <cell r="B1983" t="str">
            <v>EXP_COIAdicional3.5_27</v>
          </cell>
          <cell r="C1983" t="str">
            <v>013223025_JU_Raimondi_Satipo</v>
          </cell>
          <cell r="D1983" t="str">
            <v>M0840</v>
          </cell>
          <cell r="E1983" t="str">
            <v>COI ADICIONAL 2026</v>
          </cell>
          <cell r="F1983" t="str">
            <v>Expansiones</v>
          </cell>
          <cell r="G1983">
            <v>2026</v>
          </cell>
          <cell r="H1983" t="str">
            <v>Q1</v>
          </cell>
          <cell r="I1983" t="str">
            <v>Nicole Aquino</v>
          </cell>
          <cell r="J1983" t="str">
            <v>NO RFI</v>
          </cell>
          <cell r="K1983">
            <v>46069</v>
          </cell>
        </row>
        <row r="1984">
          <cell r="B1984" t="str">
            <v>EXP_COIAdicional3.5_28</v>
          </cell>
          <cell r="C1984" t="str">
            <v>013230029_LI_Cumbicus</v>
          </cell>
          <cell r="D1984" t="str">
            <v>M0840</v>
          </cell>
          <cell r="E1984" t="str">
            <v>COI ADICIONAL 2026</v>
          </cell>
          <cell r="F1984" t="str">
            <v>Expansiones</v>
          </cell>
          <cell r="G1984">
            <v>2026</v>
          </cell>
          <cell r="H1984" t="str">
            <v>Q1</v>
          </cell>
          <cell r="I1984" t="str">
            <v>Nicole Aquino</v>
          </cell>
          <cell r="J1984" t="str">
            <v>NO RFI</v>
          </cell>
          <cell r="K1984">
            <v>46069</v>
          </cell>
        </row>
        <row r="1985">
          <cell r="B1985" t="str">
            <v>EXP_COIAdicional3.5_29</v>
          </cell>
          <cell r="C1985" t="str">
            <v>013251368_LM_Costa_Verde</v>
          </cell>
          <cell r="D1985" t="str">
            <v>M0840</v>
          </cell>
          <cell r="E1985" t="str">
            <v>COI ADICIONAL 2026</v>
          </cell>
          <cell r="F1985" t="str">
            <v>Expansiones</v>
          </cell>
          <cell r="G1985">
            <v>2026</v>
          </cell>
          <cell r="H1985" t="str">
            <v>Q1</v>
          </cell>
          <cell r="I1985" t="str">
            <v>Nicole Aquino</v>
          </cell>
          <cell r="J1985" t="str">
            <v>NO RFI</v>
          </cell>
          <cell r="K1985">
            <v>46069</v>
          </cell>
        </row>
        <row r="1986">
          <cell r="B1986" t="str">
            <v>EXP_COIAdicional3.5_30</v>
          </cell>
          <cell r="C1986" t="str">
            <v>013254704_LM_La_Victoria_AMT</v>
          </cell>
          <cell r="D1986" t="str">
            <v>M0840</v>
          </cell>
          <cell r="E1986" t="str">
            <v>COI ADICIONAL 2026</v>
          </cell>
          <cell r="F1986" t="str">
            <v>Expansiones</v>
          </cell>
          <cell r="G1986">
            <v>2026</v>
          </cell>
          <cell r="H1986" t="str">
            <v>Q1</v>
          </cell>
          <cell r="I1986" t="str">
            <v>Nicole Aquino</v>
          </cell>
          <cell r="J1986" t="str">
            <v>NO RFI</v>
          </cell>
          <cell r="K1986">
            <v>46069</v>
          </cell>
        </row>
        <row r="1987">
          <cell r="B1987" t="str">
            <v>EXP_COIAdicional3.5_31</v>
          </cell>
          <cell r="C1987" t="str">
            <v>0132800_PN_Sesquicentenario</v>
          </cell>
          <cell r="D1987" t="str">
            <v>M0840</v>
          </cell>
          <cell r="E1987" t="str">
            <v>COI ADICIONAL 2026</v>
          </cell>
          <cell r="F1987" t="str">
            <v>Expansiones</v>
          </cell>
          <cell r="G1987">
            <v>2026</v>
          </cell>
          <cell r="H1987" t="str">
            <v>Q1</v>
          </cell>
          <cell r="I1987" t="str">
            <v>Nicole Aquino</v>
          </cell>
          <cell r="J1987" t="str">
            <v>NO RFI</v>
          </cell>
          <cell r="K1987">
            <v>46069</v>
          </cell>
        </row>
        <row r="1988">
          <cell r="B1988" t="str">
            <v>EXP_COIAdicional3.5_32</v>
          </cell>
          <cell r="C1988" t="str">
            <v>0132802_PN_Una</v>
          </cell>
          <cell r="D1988" t="str">
            <v>M0840</v>
          </cell>
          <cell r="E1988" t="str">
            <v>COI ADICIONAL 2026</v>
          </cell>
          <cell r="F1988" t="str">
            <v>Expansiones</v>
          </cell>
          <cell r="G1988">
            <v>2026</v>
          </cell>
          <cell r="H1988" t="str">
            <v>Q1</v>
          </cell>
          <cell r="I1988" t="str">
            <v>Nicole Aquino</v>
          </cell>
          <cell r="J1988" t="str">
            <v>NO RFI</v>
          </cell>
          <cell r="K1988">
            <v>46069</v>
          </cell>
        </row>
        <row r="1989">
          <cell r="B1989" t="str">
            <v>EXP_COIAdicional3.5_33</v>
          </cell>
          <cell r="C1989" t="str">
            <v>0133004_JU_Pichanaki</v>
          </cell>
          <cell r="D1989" t="str">
            <v>M0840</v>
          </cell>
          <cell r="E1989" t="str">
            <v>COI ADICIONAL 2026</v>
          </cell>
          <cell r="F1989" t="str">
            <v>Expansiones</v>
          </cell>
          <cell r="G1989">
            <v>2026</v>
          </cell>
          <cell r="H1989" t="str">
            <v>Q1</v>
          </cell>
          <cell r="I1989" t="str">
            <v>Nicole Aquino</v>
          </cell>
          <cell r="J1989" t="str">
            <v>NO RFI</v>
          </cell>
          <cell r="K1989">
            <v>46069</v>
          </cell>
        </row>
        <row r="1990">
          <cell r="B1990" t="str">
            <v>EXP_COIAdicional3.5_34</v>
          </cell>
          <cell r="C1990" t="str">
            <v>0133058_JU_Mazamari</v>
          </cell>
          <cell r="D1990" t="str">
            <v>M0840</v>
          </cell>
          <cell r="E1990" t="str">
            <v>COI ADICIONAL 2026</v>
          </cell>
          <cell r="F1990" t="str">
            <v>Expansiones</v>
          </cell>
          <cell r="G1990">
            <v>2026</v>
          </cell>
          <cell r="H1990" t="str">
            <v>Q1</v>
          </cell>
          <cell r="I1990" t="str">
            <v>Nicole Aquino</v>
          </cell>
          <cell r="J1990" t="str">
            <v>NO RFI</v>
          </cell>
          <cell r="K1990">
            <v>46069</v>
          </cell>
        </row>
        <row r="1991">
          <cell r="B1991" t="str">
            <v>EXP_COIAdicional3.5_35</v>
          </cell>
          <cell r="C1991" t="str">
            <v>0133076_JU_San_Martin_Pangoa</v>
          </cell>
          <cell r="D1991" t="str">
            <v>M0840</v>
          </cell>
          <cell r="E1991" t="str">
            <v>COI ADICIONAL 2026</v>
          </cell>
          <cell r="F1991" t="str">
            <v>Expansiones</v>
          </cell>
          <cell r="G1991">
            <v>2026</v>
          </cell>
          <cell r="H1991" t="str">
            <v>Q1</v>
          </cell>
          <cell r="I1991" t="str">
            <v>Nicole Aquino</v>
          </cell>
          <cell r="J1991" t="str">
            <v>NO RFI</v>
          </cell>
          <cell r="K1991">
            <v>46069</v>
          </cell>
        </row>
        <row r="1992">
          <cell r="B1992" t="str">
            <v>EXP_COIAdicional3.5_36</v>
          </cell>
          <cell r="C1992" t="str">
            <v>0133801_AQ_Alto_De_Jesus</v>
          </cell>
          <cell r="D1992" t="str">
            <v>M0840</v>
          </cell>
          <cell r="E1992" t="str">
            <v>COI ADICIONAL 2026</v>
          </cell>
          <cell r="F1992" t="str">
            <v>Expansiones</v>
          </cell>
          <cell r="G1992">
            <v>2026</v>
          </cell>
          <cell r="H1992" t="str">
            <v>Q1</v>
          </cell>
          <cell r="I1992" t="str">
            <v>Nicole Aquino</v>
          </cell>
          <cell r="J1992" t="str">
            <v>NO RFI</v>
          </cell>
          <cell r="K1992">
            <v>46069</v>
          </cell>
        </row>
        <row r="1993">
          <cell r="B1993" t="str">
            <v>EXP_COIAdicional3.5_37</v>
          </cell>
          <cell r="C1993" t="str">
            <v>0133863_AQ_Arequipa</v>
          </cell>
          <cell r="D1993" t="str">
            <v>M0840</v>
          </cell>
          <cell r="E1993" t="str">
            <v>COI ADICIONAL 2026</v>
          </cell>
          <cell r="F1993" t="str">
            <v>Expansiones</v>
          </cell>
          <cell r="G1993">
            <v>2026</v>
          </cell>
          <cell r="H1993" t="str">
            <v>Q1</v>
          </cell>
          <cell r="I1993" t="str">
            <v>Nicole Aquino</v>
          </cell>
          <cell r="J1993" t="str">
            <v>NO RFI</v>
          </cell>
          <cell r="K1993">
            <v>46069</v>
          </cell>
        </row>
        <row r="1994">
          <cell r="B1994" t="str">
            <v>EXP_COIAdicional3.5_38</v>
          </cell>
          <cell r="C1994" t="str">
            <v>0134389_AQ_El_Carmen_AQP</v>
          </cell>
          <cell r="D1994" t="str">
            <v>M0840</v>
          </cell>
          <cell r="E1994" t="str">
            <v>COI ADICIONAL 2026</v>
          </cell>
          <cell r="F1994" t="str">
            <v>Expansiones</v>
          </cell>
          <cell r="G1994">
            <v>2026</v>
          </cell>
          <cell r="H1994" t="str">
            <v>Q1</v>
          </cell>
          <cell r="I1994" t="str">
            <v>Nicole Aquino</v>
          </cell>
          <cell r="J1994" t="str">
            <v>NO RFI</v>
          </cell>
          <cell r="K1994">
            <v>46069</v>
          </cell>
        </row>
        <row r="1995">
          <cell r="B1995" t="str">
            <v>EXP_COIAdicional3.5_39</v>
          </cell>
          <cell r="C1995" t="str">
            <v>0134409_LI_Hospital_Lazarte</v>
          </cell>
          <cell r="D1995" t="str">
            <v>M0840</v>
          </cell>
          <cell r="E1995" t="str">
            <v>COI ADICIONAL 2026</v>
          </cell>
          <cell r="F1995" t="str">
            <v>Expansiones</v>
          </cell>
          <cell r="G1995">
            <v>2026</v>
          </cell>
          <cell r="H1995" t="str">
            <v>Q1</v>
          </cell>
          <cell r="I1995" t="str">
            <v>Nicole Aquino</v>
          </cell>
          <cell r="J1995" t="str">
            <v>NO RFI</v>
          </cell>
          <cell r="K1995">
            <v>46069</v>
          </cell>
        </row>
        <row r="1996">
          <cell r="B1996" t="str">
            <v>EXP_COIAdicional3.5_40</v>
          </cell>
          <cell r="C1996" t="str">
            <v>0134443_LM_PS_Arqueologia</v>
          </cell>
          <cell r="D1996" t="str">
            <v>M0840</v>
          </cell>
          <cell r="E1996" t="str">
            <v>COI ADICIONAL 2026</v>
          </cell>
          <cell r="F1996" t="str">
            <v>Expansiones</v>
          </cell>
          <cell r="G1996">
            <v>2026</v>
          </cell>
          <cell r="H1996" t="str">
            <v>Q1</v>
          </cell>
          <cell r="I1996" t="str">
            <v>Nicole Aquino</v>
          </cell>
          <cell r="J1996" t="str">
            <v>NO RFI</v>
          </cell>
          <cell r="K1996">
            <v>46069</v>
          </cell>
        </row>
        <row r="1997">
          <cell r="B1997" t="str">
            <v>EXP_COIAdicional3.5_41</v>
          </cell>
          <cell r="C1997" t="str">
            <v>0134449_LM_Av_Latinoamerica</v>
          </cell>
          <cell r="D1997" t="str">
            <v>M0840</v>
          </cell>
          <cell r="E1997" t="str">
            <v>COI ADICIONAL 2026</v>
          </cell>
          <cell r="F1997" t="str">
            <v>Expansiones</v>
          </cell>
          <cell r="G1997">
            <v>2026</v>
          </cell>
          <cell r="H1997" t="str">
            <v>Q1</v>
          </cell>
          <cell r="I1997" t="str">
            <v>Nicole Aquino</v>
          </cell>
          <cell r="J1997" t="str">
            <v>NO RFI</v>
          </cell>
          <cell r="K1997">
            <v>46069</v>
          </cell>
        </row>
        <row r="1998">
          <cell r="B1998" t="str">
            <v>EXP_COIAdicional3.5_42</v>
          </cell>
          <cell r="C1998" t="str">
            <v>0135118_LM_Peruano_Japones</v>
          </cell>
          <cell r="D1998" t="str">
            <v>M0840</v>
          </cell>
          <cell r="E1998" t="str">
            <v>COI ADICIONAL 2026</v>
          </cell>
          <cell r="F1998" t="str">
            <v>Expansiones</v>
          </cell>
          <cell r="G1998">
            <v>2026</v>
          </cell>
          <cell r="H1998" t="str">
            <v>Q1</v>
          </cell>
          <cell r="I1998" t="str">
            <v>Nicole Aquino</v>
          </cell>
          <cell r="J1998" t="str">
            <v>NO RFI</v>
          </cell>
          <cell r="K1998">
            <v>46069</v>
          </cell>
        </row>
        <row r="1999">
          <cell r="B1999" t="str">
            <v>EXP_COIAdicional3.5_43</v>
          </cell>
          <cell r="C1999" t="str">
            <v>0135147_LM_Club_Bahia</v>
          </cell>
          <cell r="D1999" t="str">
            <v>M0840</v>
          </cell>
          <cell r="E1999" t="str">
            <v>COI ADICIONAL 2026</v>
          </cell>
          <cell r="F1999" t="str">
            <v>Expansiones</v>
          </cell>
          <cell r="G1999">
            <v>2026</v>
          </cell>
          <cell r="H1999" t="str">
            <v>Q1</v>
          </cell>
          <cell r="I1999" t="str">
            <v>Nicole Aquino</v>
          </cell>
          <cell r="J1999" t="str">
            <v>NO RFI</v>
          </cell>
          <cell r="K1999">
            <v>46069</v>
          </cell>
        </row>
        <row r="2000">
          <cell r="B2000" t="str">
            <v>EXP_COIAdicional3.5_44</v>
          </cell>
          <cell r="C2000" t="str">
            <v>0135210_LM_Comando_Sur</v>
          </cell>
          <cell r="D2000" t="str">
            <v>M0840</v>
          </cell>
          <cell r="E2000" t="str">
            <v>COI ADICIONAL 2026</v>
          </cell>
          <cell r="F2000" t="str">
            <v>Expansiones</v>
          </cell>
          <cell r="G2000">
            <v>2026</v>
          </cell>
          <cell r="H2000" t="str">
            <v>Q1</v>
          </cell>
          <cell r="I2000" t="str">
            <v>Nicole Aquino</v>
          </cell>
          <cell r="J2000" t="str">
            <v>NO RFI</v>
          </cell>
          <cell r="K2000">
            <v>46069</v>
          </cell>
        </row>
        <row r="2001">
          <cell r="B2001" t="str">
            <v>EXP_COIAdicional3.5_45</v>
          </cell>
          <cell r="C2001" t="str">
            <v>0135445_LM_Hospital_Collique</v>
          </cell>
          <cell r="D2001" t="str">
            <v>M0840</v>
          </cell>
          <cell r="E2001" t="str">
            <v>COI ADICIONAL 2026</v>
          </cell>
          <cell r="F2001" t="str">
            <v>Expansiones</v>
          </cell>
          <cell r="G2001">
            <v>2026</v>
          </cell>
          <cell r="H2001" t="str">
            <v>Q1</v>
          </cell>
          <cell r="I2001" t="str">
            <v>Nicole Aquino</v>
          </cell>
          <cell r="J2001" t="str">
            <v>NO RFI</v>
          </cell>
          <cell r="K2001">
            <v>46069</v>
          </cell>
        </row>
        <row r="2002">
          <cell r="B2002" t="str">
            <v>EXP_COIAdicional3.5_46</v>
          </cell>
          <cell r="C2002" t="str">
            <v>0135601_LM_Rio_Nanay</v>
          </cell>
          <cell r="D2002" t="str">
            <v>M0840</v>
          </cell>
          <cell r="E2002" t="str">
            <v>COI ADICIONAL 2026</v>
          </cell>
          <cell r="F2002" t="str">
            <v>Expansiones</v>
          </cell>
          <cell r="G2002">
            <v>2026</v>
          </cell>
          <cell r="H2002" t="str">
            <v>Q1</v>
          </cell>
          <cell r="I2002" t="str">
            <v>Nicole Aquino</v>
          </cell>
          <cell r="J2002" t="str">
            <v>NO RFI</v>
          </cell>
          <cell r="K2002">
            <v>46069</v>
          </cell>
        </row>
        <row r="2003">
          <cell r="B2003" t="str">
            <v>EXP_COIAdicional3.5_47</v>
          </cell>
          <cell r="C2003" t="str">
            <v>0135991_LM_Hospital_De_Policia</v>
          </cell>
          <cell r="D2003" t="str">
            <v>M0840</v>
          </cell>
          <cell r="E2003" t="str">
            <v>COI ADICIONAL 2026</v>
          </cell>
          <cell r="F2003" t="str">
            <v>Expansiones</v>
          </cell>
          <cell r="G2003">
            <v>2026</v>
          </cell>
          <cell r="H2003" t="str">
            <v>Q1</v>
          </cell>
          <cell r="I2003" t="str">
            <v>Nicole Aquino</v>
          </cell>
          <cell r="J2003" t="str">
            <v>NO RFI</v>
          </cell>
          <cell r="K2003">
            <v>46069</v>
          </cell>
        </row>
        <row r="2004">
          <cell r="B2004" t="str">
            <v>EXP_COIAdicional3.5_48</v>
          </cell>
          <cell r="C2004" t="str">
            <v>0136053_LM_Torres_Matos</v>
          </cell>
          <cell r="D2004" t="str">
            <v>M0840</v>
          </cell>
          <cell r="E2004" t="str">
            <v>COI ADICIONAL 2026</v>
          </cell>
          <cell r="F2004" t="str">
            <v>Expansiones</v>
          </cell>
          <cell r="G2004">
            <v>2026</v>
          </cell>
          <cell r="H2004" t="str">
            <v>Q1</v>
          </cell>
          <cell r="I2004" t="str">
            <v>Nicole Aquino</v>
          </cell>
          <cell r="J2004" t="str">
            <v>NO RFI</v>
          </cell>
          <cell r="K2004">
            <v>46069</v>
          </cell>
        </row>
        <row r="2005">
          <cell r="B2005" t="str">
            <v>EXP_COIAdicional3.5_49</v>
          </cell>
          <cell r="C2005" t="str">
            <v>0136091_LM_Tinta_Catari</v>
          </cell>
          <cell r="D2005" t="str">
            <v>M0840</v>
          </cell>
          <cell r="E2005" t="str">
            <v>COI ADICIONAL 2026</v>
          </cell>
          <cell r="F2005" t="str">
            <v>Expansiones</v>
          </cell>
          <cell r="G2005">
            <v>2026</v>
          </cell>
          <cell r="H2005" t="str">
            <v>Q1</v>
          </cell>
          <cell r="I2005" t="str">
            <v>Nicole Aquino</v>
          </cell>
          <cell r="J2005" t="str">
            <v>NO RFI</v>
          </cell>
          <cell r="K2005">
            <v>46069</v>
          </cell>
        </row>
        <row r="2006">
          <cell r="B2006" t="str">
            <v>EXP_COIAdicional3.5_50</v>
          </cell>
          <cell r="C2006" t="str">
            <v>0136137_LM_Gold_Source</v>
          </cell>
          <cell r="D2006" t="str">
            <v>M0840</v>
          </cell>
          <cell r="E2006" t="str">
            <v>COI ADICIONAL 2026</v>
          </cell>
          <cell r="F2006" t="str">
            <v>Expansiones</v>
          </cell>
          <cell r="G2006">
            <v>2026</v>
          </cell>
          <cell r="H2006" t="str">
            <v>Q1</v>
          </cell>
          <cell r="I2006" t="str">
            <v>Nicole Aquino</v>
          </cell>
          <cell r="J2006" t="str">
            <v>NO RFI</v>
          </cell>
          <cell r="K2006">
            <v>46069</v>
          </cell>
        </row>
        <row r="2007">
          <cell r="B2007" t="str">
            <v>EXP_COIAdicional3.5_51</v>
          </cell>
          <cell r="C2007" t="str">
            <v>0136258_LM_Club_El_Bosque_Play</v>
          </cell>
          <cell r="D2007" t="str">
            <v>M0840</v>
          </cell>
          <cell r="E2007" t="str">
            <v>COI ADICIONAL 2026</v>
          </cell>
          <cell r="F2007" t="str">
            <v>Expansiones</v>
          </cell>
          <cell r="G2007">
            <v>2026</v>
          </cell>
          <cell r="H2007" t="str">
            <v>Q1</v>
          </cell>
          <cell r="I2007" t="str">
            <v>Nicole Aquino</v>
          </cell>
          <cell r="J2007" t="str">
            <v>NO RFI</v>
          </cell>
          <cell r="K2007">
            <v>46069</v>
          </cell>
        </row>
        <row r="2008">
          <cell r="B2008" t="str">
            <v>EXP_COIAdicional3.5_52</v>
          </cell>
          <cell r="C2008" t="str">
            <v>0136314_LM_Mariscal_Miller</v>
          </cell>
          <cell r="D2008" t="str">
            <v>M0840</v>
          </cell>
          <cell r="E2008" t="str">
            <v>COI ADICIONAL 2026</v>
          </cell>
          <cell r="F2008" t="str">
            <v>Expansiones</v>
          </cell>
          <cell r="G2008">
            <v>2026</v>
          </cell>
          <cell r="H2008" t="str">
            <v>Q1</v>
          </cell>
          <cell r="I2008" t="str">
            <v>Nicole Aquino</v>
          </cell>
          <cell r="J2008" t="str">
            <v>NO RFI</v>
          </cell>
          <cell r="K2008">
            <v>46069</v>
          </cell>
        </row>
        <row r="2009">
          <cell r="B2009" t="str">
            <v>EXP_COIAdicional3.5_53</v>
          </cell>
          <cell r="C2009" t="str">
            <v>0136340_LM_Ovalo_Saloom</v>
          </cell>
          <cell r="D2009" t="str">
            <v>M0840</v>
          </cell>
          <cell r="E2009" t="str">
            <v>COI ADICIONAL 2026</v>
          </cell>
          <cell r="F2009" t="str">
            <v>Expansiones</v>
          </cell>
          <cell r="G2009">
            <v>2026</v>
          </cell>
          <cell r="H2009" t="str">
            <v>Q1</v>
          </cell>
          <cell r="I2009" t="str">
            <v>Nicole Aquino</v>
          </cell>
          <cell r="J2009" t="str">
            <v>NO RFI</v>
          </cell>
          <cell r="K2009">
            <v>46069</v>
          </cell>
        </row>
        <row r="2010">
          <cell r="B2010" t="str">
            <v>EXP_COIAdicional3.5_54</v>
          </cell>
          <cell r="C2010" t="str">
            <v>013948254_LM_MIB_INEN5</v>
          </cell>
          <cell r="D2010" t="str">
            <v>M0840</v>
          </cell>
          <cell r="E2010" t="str">
            <v>COI ADICIONAL 2026</v>
          </cell>
          <cell r="F2010" t="str">
            <v>Expansiones</v>
          </cell>
          <cell r="G2010">
            <v>2026</v>
          </cell>
          <cell r="H2010" t="str">
            <v>Q1</v>
          </cell>
          <cell r="I2010" t="str">
            <v>Nicole Aquino</v>
          </cell>
          <cell r="J2010" t="str">
            <v>NO RFI</v>
          </cell>
          <cell r="K2010">
            <v>46069</v>
          </cell>
        </row>
        <row r="2011">
          <cell r="B2011" t="str">
            <v>MAC_CoberturaFDD2026_359</v>
          </cell>
          <cell r="C2011" t="str">
            <v>ArequipaMetCerroColorado01_SuggestedNode_55</v>
          </cell>
          <cell r="D2011" t="str">
            <v>M0861</v>
          </cell>
          <cell r="E2011" t="str">
            <v>COBERTURA 2026</v>
          </cell>
          <cell r="F2011" t="str">
            <v>Macros</v>
          </cell>
          <cell r="G2011">
            <v>2026</v>
          </cell>
          <cell r="H2011" t="str">
            <v>2Q</v>
          </cell>
          <cell r="I2011" t="str">
            <v>Almendra Vásquez</v>
          </cell>
          <cell r="J2011" t="str">
            <v>En Busqueda</v>
          </cell>
          <cell r="K2011">
            <v>46070</v>
          </cell>
        </row>
        <row r="2012">
          <cell r="B2012" t="str">
            <v>MAC_CoberturaIndoor2026_360</v>
          </cell>
          <cell r="C2012" t="str">
            <v>CS_CollaCalle</v>
          </cell>
          <cell r="D2012" t="str">
            <v>Sin Cod</v>
          </cell>
          <cell r="E2012" t="str">
            <v>COBERTURA INDOOR 2026</v>
          </cell>
          <cell r="F2012" t="str">
            <v>Macros</v>
          </cell>
          <cell r="G2012">
            <v>2026</v>
          </cell>
          <cell r="H2012" t="str">
            <v>2Q</v>
          </cell>
          <cell r="I2012" t="str">
            <v>Almendra Vásquez</v>
          </cell>
          <cell r="J2012" t="str">
            <v>En Busqueda</v>
          </cell>
          <cell r="K2012">
            <v>46070</v>
          </cell>
        </row>
        <row r="2013">
          <cell r="B2013" t="str">
            <v>MAC_CoberturaFDD2026_361</v>
          </cell>
          <cell r="C2013" t="str">
            <v>013144007_AQ_NuevoAmanecer</v>
          </cell>
          <cell r="D2013" t="str">
            <v>M0861</v>
          </cell>
          <cell r="E2013" t="str">
            <v>COBERTURA 2026</v>
          </cell>
          <cell r="F2013" t="str">
            <v>Macros</v>
          </cell>
          <cell r="G2013">
            <v>2026</v>
          </cell>
          <cell r="H2013" t="str">
            <v>2Q</v>
          </cell>
          <cell r="I2013" t="str">
            <v>Almendra Vásquez</v>
          </cell>
          <cell r="J2013" t="str">
            <v>En Busqueda</v>
          </cell>
          <cell r="K2013">
            <v>46070</v>
          </cell>
        </row>
        <row r="2014">
          <cell r="B2014" t="str">
            <v>MAC_CoberturaFDD2026_362</v>
          </cell>
          <cell r="C2014" t="str">
            <v>013255666_LM_AsocLaPrimavera</v>
          </cell>
          <cell r="D2014" t="str">
            <v>M0861</v>
          </cell>
          <cell r="E2014" t="str">
            <v>COBERTURA 2026</v>
          </cell>
          <cell r="F2014" t="str">
            <v>Macros</v>
          </cell>
          <cell r="G2014">
            <v>2026</v>
          </cell>
          <cell r="H2014" t="str">
            <v>2Q</v>
          </cell>
          <cell r="I2014" t="str">
            <v>Almendra Vásquez</v>
          </cell>
          <cell r="J2014" t="str">
            <v>En Busqueda</v>
          </cell>
          <cell r="K2014">
            <v>46070</v>
          </cell>
        </row>
        <row r="2015">
          <cell r="B2015" t="str">
            <v>MAC_CoberturaFDD2026_363</v>
          </cell>
          <cell r="C2015" t="str">
            <v>013303095_PI_LosMirtos</v>
          </cell>
          <cell r="D2015" t="str">
            <v>M0861</v>
          </cell>
          <cell r="E2015" t="str">
            <v>COBERTURA 2026</v>
          </cell>
          <cell r="F2015" t="str">
            <v>Macros</v>
          </cell>
          <cell r="G2015">
            <v>2026</v>
          </cell>
          <cell r="H2015" t="str">
            <v>2Q</v>
          </cell>
          <cell r="I2015" t="str">
            <v>Almendra Vásquez</v>
          </cell>
          <cell r="J2015" t="str">
            <v>En Busqueda</v>
          </cell>
          <cell r="K2015">
            <v>46070</v>
          </cell>
        </row>
        <row r="2016">
          <cell r="B2016" t="str">
            <v>MAC_CoberturaFDD2026_364</v>
          </cell>
          <cell r="C2016" t="str">
            <v>013255297_LM_GranjaSoto</v>
          </cell>
          <cell r="D2016" t="str">
            <v>M0861</v>
          </cell>
          <cell r="E2016" t="str">
            <v>COBERTURA 2026</v>
          </cell>
          <cell r="F2016" t="str">
            <v>Macros</v>
          </cell>
          <cell r="G2016">
            <v>2026</v>
          </cell>
          <cell r="H2016" t="str">
            <v>2Q</v>
          </cell>
          <cell r="I2016" t="str">
            <v>Almendra Vásquez</v>
          </cell>
          <cell r="J2016" t="str">
            <v>En Busqueda</v>
          </cell>
          <cell r="K2016">
            <v>46070</v>
          </cell>
        </row>
        <row r="2017">
          <cell r="B2017" t="str">
            <v>26Q1-TDD_8</v>
          </cell>
          <cell r="C2017" t="str">
            <v>0130227_LM_La_Concordia</v>
          </cell>
          <cell r="D2017" t="str">
            <v>M0821</v>
          </cell>
          <cell r="E2017" t="str">
            <v>RANCO TDD ADELANTO Q1 2026</v>
          </cell>
          <cell r="F2017" t="str">
            <v>Expansiones</v>
          </cell>
          <cell r="G2017">
            <v>2026</v>
          </cell>
          <cell r="H2017" t="str">
            <v>Q1</v>
          </cell>
          <cell r="I2017" t="str">
            <v>Jason olivos</v>
          </cell>
          <cell r="J2017" t="str">
            <v>RFI</v>
          </cell>
          <cell r="K2017">
            <v>46071</v>
          </cell>
        </row>
        <row r="2018">
          <cell r="B2018" t="str">
            <v>26Q1-TDD_11</v>
          </cell>
          <cell r="C2018" t="str">
            <v>0130317_LM_Pamplona_Alta</v>
          </cell>
          <cell r="D2018" t="str">
            <v>M0821</v>
          </cell>
          <cell r="E2018" t="str">
            <v>RANCO TDD ADELANTO Q1 2026</v>
          </cell>
          <cell r="F2018" t="str">
            <v>Expansiones</v>
          </cell>
          <cell r="G2018">
            <v>2026</v>
          </cell>
          <cell r="H2018" t="str">
            <v>Q1</v>
          </cell>
          <cell r="I2018" t="str">
            <v>Jason olivos</v>
          </cell>
          <cell r="J2018" t="str">
            <v>RFI</v>
          </cell>
          <cell r="K2018">
            <v>46071</v>
          </cell>
        </row>
        <row r="2019">
          <cell r="B2019" t="str">
            <v>26Q1-TDD_17</v>
          </cell>
          <cell r="C2019" t="str">
            <v>0130465_LM_San_Francisco_Cayran</v>
          </cell>
          <cell r="D2019" t="str">
            <v>M0821</v>
          </cell>
          <cell r="E2019" t="str">
            <v>RANCO TDD ADELANTO Q1 2026</v>
          </cell>
          <cell r="F2019" t="str">
            <v>Expansiones</v>
          </cell>
          <cell r="G2019">
            <v>2026</v>
          </cell>
          <cell r="H2019" t="str">
            <v>Q1</v>
          </cell>
          <cell r="I2019" t="str">
            <v>Jason olivos</v>
          </cell>
          <cell r="J2019" t="str">
            <v>RFI</v>
          </cell>
          <cell r="K2019">
            <v>46071</v>
          </cell>
        </row>
        <row r="2020">
          <cell r="B2020" t="str">
            <v>26Q1-TDD_105</v>
          </cell>
          <cell r="C2020" t="str">
            <v>0133687_LM_CC_Villa_R1</v>
          </cell>
          <cell r="D2020" t="str">
            <v>M0821</v>
          </cell>
          <cell r="E2020" t="str">
            <v>RANCO TDD ADELANTO Q1 2026</v>
          </cell>
          <cell r="F2020" t="str">
            <v>Expansiones</v>
          </cell>
          <cell r="G2020">
            <v>2026</v>
          </cell>
          <cell r="H2020" t="str">
            <v>Q1</v>
          </cell>
          <cell r="I2020" t="str">
            <v>Jason olivos</v>
          </cell>
          <cell r="J2020" t="str">
            <v>RFI</v>
          </cell>
          <cell r="K2020">
            <v>46071</v>
          </cell>
        </row>
        <row r="2021">
          <cell r="B2021" t="str">
            <v>26Q1-TDD_109</v>
          </cell>
          <cell r="C2021" t="str">
            <v>0133984_AQ_Revolucion_Arequipa</v>
          </cell>
          <cell r="D2021" t="str">
            <v>M0821</v>
          </cell>
          <cell r="E2021" t="str">
            <v>RANCO TDD ADELANTO Q1 2026</v>
          </cell>
          <cell r="F2021" t="str">
            <v>Expansiones</v>
          </cell>
          <cell r="G2021">
            <v>2026</v>
          </cell>
          <cell r="H2021" t="str">
            <v>Q1</v>
          </cell>
          <cell r="I2021" t="str">
            <v>Jason olivos</v>
          </cell>
          <cell r="J2021" t="str">
            <v>RFI</v>
          </cell>
          <cell r="K2021">
            <v>46071</v>
          </cell>
        </row>
        <row r="2022">
          <cell r="B2022" t="str">
            <v>26Q1-TDD_140</v>
          </cell>
          <cell r="C2022" t="str">
            <v>0135132_LM_Eloy_Ureta</v>
          </cell>
          <cell r="D2022" t="str">
            <v>M0821</v>
          </cell>
          <cell r="E2022" t="str">
            <v>RANCO TDD ADELANTO Q1 2026</v>
          </cell>
          <cell r="F2022" t="str">
            <v>Expansiones</v>
          </cell>
          <cell r="G2022">
            <v>2026</v>
          </cell>
          <cell r="H2022" t="str">
            <v>Q1</v>
          </cell>
          <cell r="I2022" t="str">
            <v>Jason olivos</v>
          </cell>
          <cell r="J2022" t="str">
            <v>RFI</v>
          </cell>
          <cell r="K2022">
            <v>46071</v>
          </cell>
        </row>
        <row r="2023">
          <cell r="B2023" t="str">
            <v>26Q1-TDD_148</v>
          </cell>
          <cell r="C2023" t="str">
            <v>0135352_LM_San_Diego_De_Alcala</v>
          </cell>
          <cell r="D2023" t="str">
            <v>M0821</v>
          </cell>
          <cell r="E2023" t="str">
            <v>RANCO TDD ADELANTO Q1 2026</v>
          </cell>
          <cell r="F2023" t="str">
            <v>Expansiones</v>
          </cell>
          <cell r="G2023">
            <v>2026</v>
          </cell>
          <cell r="H2023" t="str">
            <v>Q1</v>
          </cell>
          <cell r="I2023" t="str">
            <v>Jason olivos</v>
          </cell>
          <cell r="J2023" t="str">
            <v>RFI</v>
          </cell>
          <cell r="K2023">
            <v>46071</v>
          </cell>
        </row>
        <row r="2024">
          <cell r="B2024" t="str">
            <v>26Q1-TDD_149</v>
          </cell>
          <cell r="C2024" t="str">
            <v>0135372_LM_Nuevo_Peru</v>
          </cell>
          <cell r="D2024" t="str">
            <v>M0821</v>
          </cell>
          <cell r="E2024" t="str">
            <v>RANCO TDD ADELANTO Q1 2026</v>
          </cell>
          <cell r="F2024" t="str">
            <v>Expansiones</v>
          </cell>
          <cell r="G2024">
            <v>2026</v>
          </cell>
          <cell r="H2024" t="str">
            <v>Q1</v>
          </cell>
          <cell r="I2024" t="str">
            <v>Jason olivos</v>
          </cell>
          <cell r="J2024" t="str">
            <v>RFI</v>
          </cell>
          <cell r="K2024">
            <v>46071</v>
          </cell>
        </row>
        <row r="2025">
          <cell r="B2025" t="str">
            <v>26Q1-TDD_159</v>
          </cell>
          <cell r="C2025" t="str">
            <v>0135859_LM_Batallon_Concepcion</v>
          </cell>
          <cell r="D2025" t="str">
            <v>M0821</v>
          </cell>
          <cell r="E2025" t="str">
            <v>RANCO TDD ADELANTO Q1 2026</v>
          </cell>
          <cell r="F2025" t="str">
            <v>Expansiones</v>
          </cell>
          <cell r="G2025">
            <v>2026</v>
          </cell>
          <cell r="H2025" t="str">
            <v>Q1</v>
          </cell>
          <cell r="I2025" t="str">
            <v>Jason olivos</v>
          </cell>
          <cell r="J2025" t="str">
            <v>RFI</v>
          </cell>
          <cell r="K2025">
            <v>46071</v>
          </cell>
        </row>
        <row r="2026">
          <cell r="B2026" t="str">
            <v>26Q1-TDD_44</v>
          </cell>
          <cell r="C2026" t="str">
            <v>0131295_LM_Sucre_Llosa</v>
          </cell>
          <cell r="D2026" t="str">
            <v>M0821</v>
          </cell>
          <cell r="E2026" t="str">
            <v>RANCO TDD ADELANTO Q1 2026</v>
          </cell>
          <cell r="F2026" t="str">
            <v>Expansiones</v>
          </cell>
          <cell r="G2026">
            <v>2026</v>
          </cell>
          <cell r="H2026" t="str">
            <v>Q1</v>
          </cell>
          <cell r="I2026" t="str">
            <v>Jason olivos</v>
          </cell>
          <cell r="J2026" t="str">
            <v>RFI</v>
          </cell>
          <cell r="K2026">
            <v>46071</v>
          </cell>
        </row>
        <row r="2027">
          <cell r="B2027" t="str">
            <v>26Q1-TDD_46</v>
          </cell>
          <cell r="C2027" t="str">
            <v>0131392_CS_Tierra_Prometida</v>
          </cell>
          <cell r="D2027" t="str">
            <v>M0821</v>
          </cell>
          <cell r="E2027" t="str">
            <v>RANCO TDD ADELANTO Q1 2026</v>
          </cell>
          <cell r="F2027" t="str">
            <v>Expansiones</v>
          </cell>
          <cell r="G2027">
            <v>2026</v>
          </cell>
          <cell r="H2027" t="str">
            <v>Q1</v>
          </cell>
          <cell r="I2027" t="str">
            <v>Jason olivos</v>
          </cell>
          <cell r="J2027" t="str">
            <v>RFI</v>
          </cell>
          <cell r="K2027">
            <v>46071</v>
          </cell>
        </row>
        <row r="2028">
          <cell r="B2028" t="str">
            <v>26Q1-TDD_127</v>
          </cell>
          <cell r="C2028" t="str">
            <v>0134503_LM_Lazareto</v>
          </cell>
          <cell r="D2028" t="str">
            <v>M0821</v>
          </cell>
          <cell r="E2028" t="str">
            <v>RANCO TDD ADELANTO Q1 2026</v>
          </cell>
          <cell r="F2028" t="str">
            <v>Expansiones</v>
          </cell>
          <cell r="G2028">
            <v>2026</v>
          </cell>
          <cell r="H2028" t="str">
            <v>Q1</v>
          </cell>
          <cell r="I2028" t="str">
            <v>Jason olivos</v>
          </cell>
          <cell r="J2028" t="str">
            <v>RFI</v>
          </cell>
          <cell r="K2028">
            <v>46071</v>
          </cell>
        </row>
        <row r="2029">
          <cell r="B2029" t="str">
            <v>26Q1-TDD_164</v>
          </cell>
          <cell r="C2029" t="str">
            <v>0136163_LM_Villa_Bolivar</v>
          </cell>
          <cell r="D2029" t="str">
            <v>M0821</v>
          </cell>
          <cell r="E2029" t="str">
            <v>RANCO TDD ADELANTO Q1 2026</v>
          </cell>
          <cell r="F2029" t="str">
            <v>Expansiones</v>
          </cell>
          <cell r="G2029">
            <v>2026</v>
          </cell>
          <cell r="H2029" t="str">
            <v>Q1</v>
          </cell>
          <cell r="I2029" t="str">
            <v>Jason olivos</v>
          </cell>
          <cell r="J2029" t="str">
            <v>Pendiente</v>
          </cell>
          <cell r="K2029">
            <v>46071</v>
          </cell>
        </row>
        <row r="2030">
          <cell r="B2030" t="str">
            <v>GCIR_REFORZAMIENTO DE EDIFICACIONES PARA REGULARIZAR LICENCIAS 2026_01</v>
          </cell>
          <cell r="C2030" t="str">
            <v>0130063_LM_Risso</v>
          </cell>
          <cell r="D2030" t="str">
            <v xml:space="preserve">M0913 </v>
          </cell>
          <cell r="E2030" t="str">
            <v>REFORZAMIENTO DE EDIFICACIONES PARA REGULARIZAR LICENCIAS 2026</v>
          </cell>
          <cell r="G2030">
            <v>2026</v>
          </cell>
          <cell r="K2030">
            <v>46073</v>
          </cell>
        </row>
        <row r="2031">
          <cell r="B2031" t="str">
            <v>GCIR_REFORZAMIENTO DE EDIFICACIONES PARA REGULARIZAR LICENCIAS 2026_02</v>
          </cell>
          <cell r="C2031" t="str">
            <v>0130238_LM_Mello_Franco</v>
          </cell>
          <cell r="D2031" t="str">
            <v xml:space="preserve">M0913 </v>
          </cell>
          <cell r="E2031" t="str">
            <v>REFORZAMIENTO DE EDIFICACIONES PARA REGULARIZAR LICENCIAS 2026</v>
          </cell>
          <cell r="G2031">
            <v>2026</v>
          </cell>
          <cell r="K2031">
            <v>46073</v>
          </cell>
        </row>
        <row r="2032">
          <cell r="B2032" t="str">
            <v>GCIR_REFORZAMIENTO DE EDIFICACIONES PARA REGULARIZAR LICENCIAS 2026_03</v>
          </cell>
          <cell r="C2032" t="str">
            <v>0130126_LM_Wiese</v>
          </cell>
          <cell r="D2032" t="str">
            <v xml:space="preserve">M0913 </v>
          </cell>
          <cell r="E2032" t="str">
            <v>REFORZAMIENTO DE EDIFICACIONES PARA REGULARIZAR LICENCIAS 2026</v>
          </cell>
          <cell r="G2032">
            <v>2026</v>
          </cell>
          <cell r="K2032">
            <v>46073</v>
          </cell>
        </row>
        <row r="2033">
          <cell r="B2033" t="str">
            <v>GCIR_REFORZAMIENTO DE EDIFICACIONES PARA REGULARIZAR LICENCIAS 2026_04</v>
          </cell>
          <cell r="C2033" t="str">
            <v>0130094_LM_El_Pino</v>
          </cell>
          <cell r="D2033" t="str">
            <v xml:space="preserve">M0913 </v>
          </cell>
          <cell r="E2033" t="str">
            <v>REFORZAMIENTO DE EDIFICACIONES PARA REGULARIZAR LICENCIAS 2026</v>
          </cell>
          <cell r="G2033">
            <v>2026</v>
          </cell>
          <cell r="K2033">
            <v>46073</v>
          </cell>
        </row>
        <row r="2034">
          <cell r="B2034" t="str">
            <v>GCIR_REFORZAMIENTO DE EDIFICACIONES PARA REGULARIZAR LICENCIAS 2026_05</v>
          </cell>
          <cell r="C2034" t="str">
            <v>0130014_LM_Abtao</v>
          </cell>
          <cell r="D2034" t="str">
            <v xml:space="preserve">M0913 </v>
          </cell>
          <cell r="E2034" t="str">
            <v>REFORZAMIENTO DE EDIFICACIONES PARA REGULARIZAR LICENCIAS 2026</v>
          </cell>
          <cell r="G2034">
            <v>2026</v>
          </cell>
          <cell r="K2034">
            <v>46073</v>
          </cell>
        </row>
        <row r="2035">
          <cell r="B2035" t="str">
            <v>GCIR_REFORZAMIENTO DE EDIFICACIONES PARA REGULARIZAR LICENCIAS 2026_06</v>
          </cell>
          <cell r="C2035" t="str">
            <v>0130005_LM_SMPorres</v>
          </cell>
          <cell r="D2035" t="str">
            <v xml:space="preserve">M0913 </v>
          </cell>
          <cell r="E2035" t="str">
            <v>REFORZAMIENTO DE EDIFICACIONES PARA REGULARIZAR LICENCIAS 2026</v>
          </cell>
          <cell r="G2035">
            <v>2026</v>
          </cell>
          <cell r="K2035">
            <v>46073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F2" t="str">
            <v>Linea de Inversión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zman Montoya, Cesar Alonso" id="{C871B27B-11EB-4208-BF3E-AEBDAC5A9D25}" userId="S::cesar.guzman@entel.pe::ae4590a4-58f3-4753-a712-7648dd4fb87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1-22T00:28:59.96" personId="{C871B27B-11EB-4208-BF3E-AEBDAC5A9D25}" id="{20AF0441-D00D-4828-8248-E29B74B8E48C}">
    <text>Identificador proporcionado por el PM en la matriz por proyecto y Sitio</text>
  </threadedComment>
  <threadedComment ref="L1" dT="2026-01-22T00:29:46.19" personId="{C871B27B-11EB-4208-BF3E-AEBDAC5A9D25}" id="{7E5E1C6F-5FFF-4420-B742-059C77065855}">
    <text xml:space="preserve">Monto total a considerar para la generación de RQ
</text>
  </threadedComment>
  <threadedComment ref="M1" dT="2026-01-22T00:24:02.57" personId="{C871B27B-11EB-4208-BF3E-AEBDAC5A9D25}" id="{9C1476BA-E4D9-4DC1-93D7-106522F9DF23}">
    <text>Fecha en la cual se solicita la generación RQ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BAAE-1FB0-40FA-8D0A-6888646B30EC}">
  <sheetPr>
    <tabColor rgb="FFFFC000"/>
  </sheetPr>
  <dimension ref="A1:T10"/>
  <sheetViews>
    <sheetView tabSelected="1" zoomScale="90" zoomScaleNormal="90" workbookViewId="0">
      <selection activeCell="C4" sqref="C4"/>
    </sheetView>
  </sheetViews>
  <sheetFormatPr baseColWidth="10" defaultColWidth="11.453125" defaultRowHeight="14.5" x14ac:dyDescent="0.35"/>
  <cols>
    <col min="1" max="1" width="5.453125" style="1" customWidth="1"/>
    <col min="2" max="2" width="19.90625" customWidth="1"/>
    <col min="3" max="3" width="42.08984375" customWidth="1"/>
    <col min="4" max="4" width="25.6328125" bestFit="1" customWidth="1"/>
    <col min="5" max="5" width="57.90625" customWidth="1"/>
    <col min="6" max="6" width="55.36328125" customWidth="1"/>
    <col min="7" max="7" width="10" customWidth="1"/>
    <col min="8" max="8" width="14.90625" customWidth="1"/>
    <col min="9" max="9" width="7.54296875" customWidth="1"/>
    <col min="10" max="10" width="8.54296875" customWidth="1"/>
    <col min="11" max="11" width="7.54296875" customWidth="1"/>
    <col min="12" max="12" width="13.453125" style="2" bestFit="1" customWidth="1"/>
    <col min="13" max="14" width="10.453125" customWidth="1"/>
    <col min="15" max="15" width="10" customWidth="1"/>
    <col min="16" max="16" width="38.90625" bestFit="1" customWidth="1"/>
    <col min="17" max="17" width="12.08984375" bestFit="1" customWidth="1"/>
    <col min="18" max="18" width="35.90625" bestFit="1" customWidth="1"/>
    <col min="19" max="19" width="40" style="3" bestFit="1" customWidth="1"/>
    <col min="20" max="20" width="10.54296875" customWidth="1"/>
  </cols>
  <sheetData>
    <row r="1" spans="2:20" ht="43.5" x14ac:dyDescent="0.35">
      <c r="B1" s="5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4" t="s">
        <v>8</v>
      </c>
      <c r="K1" s="4" t="s">
        <v>9</v>
      </c>
      <c r="L1" s="7" t="s">
        <v>10</v>
      </c>
      <c r="M1" s="6" t="s">
        <v>11</v>
      </c>
      <c r="N1" s="8" t="s">
        <v>12</v>
      </c>
      <c r="O1" s="8" t="s">
        <v>13</v>
      </c>
      <c r="P1" s="6" t="s">
        <v>14</v>
      </c>
      <c r="Q1" s="9" t="s">
        <v>15</v>
      </c>
      <c r="R1" s="9" t="s">
        <v>16</v>
      </c>
      <c r="S1" s="9" t="s">
        <v>17</v>
      </c>
      <c r="T1" s="9" t="s">
        <v>18</v>
      </c>
    </row>
    <row r="2" spans="2:20" x14ac:dyDescent="0.35">
      <c r="B2" s="10" t="s">
        <v>19</v>
      </c>
      <c r="C2" s="10" t="str">
        <f>+VLOOKUP(B2,'[1]Consolidado Sitios'!$B:$K,2,0)</f>
        <v>0133944_AQ_Parque_Fujimori</v>
      </c>
      <c r="D2" s="10" t="s">
        <v>20</v>
      </c>
      <c r="E2" s="10" t="s">
        <v>21</v>
      </c>
      <c r="F2" s="10" t="s">
        <v>22</v>
      </c>
      <c r="G2" s="11" t="s">
        <v>23</v>
      </c>
      <c r="H2" s="10" t="s">
        <v>24</v>
      </c>
      <c r="I2" s="10" t="s">
        <v>25</v>
      </c>
      <c r="J2" s="10">
        <v>1</v>
      </c>
      <c r="K2" s="12">
        <v>7007.1</v>
      </c>
      <c r="L2" s="13">
        <f t="shared" ref="L2:L10" si="0">+J2*K2</f>
        <v>7007.1</v>
      </c>
      <c r="M2" s="11">
        <v>46036</v>
      </c>
      <c r="N2" s="11">
        <v>46056</v>
      </c>
      <c r="O2" s="11">
        <f t="shared" ref="O2:O10" si="1">+N2+270</f>
        <v>46326</v>
      </c>
      <c r="P2" s="11" t="str">
        <f t="shared" ref="P2:P10" si="2">+_xlfn.CONCAT(B2,"-",D2)</f>
        <v>TDD_177-Impl. RF</v>
      </c>
      <c r="Q2" s="11" t="str">
        <f>+VLOOKUP(B2,'[1]Consolidado Sitios'!B:D,3,0)</f>
        <v>M0821</v>
      </c>
      <c r="R2" s="11" t="str">
        <f>VLOOKUP(B2,'[1]Consolidado Sitios'!B:E,4,0)</f>
        <v>RANCO TDD ADELANTO Q1 2026</v>
      </c>
      <c r="S2" s="14" t="s">
        <v>26</v>
      </c>
      <c r="T2" s="15" t="s">
        <v>27</v>
      </c>
    </row>
    <row r="3" spans="2:20" x14ac:dyDescent="0.35">
      <c r="B3" s="16" t="s">
        <v>28</v>
      </c>
      <c r="C3" s="16" t="str">
        <f>+VLOOKUP(B3,'[1]Consolidado Sitios'!$B:$K,2,0)</f>
        <v>0100821_IC_Ayabaca to 0100868_IC_Geronimo_Cabrera</v>
      </c>
      <c r="D3" s="16" t="s">
        <v>29</v>
      </c>
      <c r="E3" s="16" t="s">
        <v>30</v>
      </c>
      <c r="F3" s="16" t="s">
        <v>31</v>
      </c>
      <c r="G3" s="17" t="s">
        <v>32</v>
      </c>
      <c r="H3" s="16" t="s">
        <v>33</v>
      </c>
      <c r="I3" s="16" t="s">
        <v>25</v>
      </c>
      <c r="J3" s="16">
        <v>1</v>
      </c>
      <c r="K3" s="18">
        <v>30073.97</v>
      </c>
      <c r="L3" s="19">
        <f t="shared" si="0"/>
        <v>30073.97</v>
      </c>
      <c r="M3" s="17">
        <v>46044</v>
      </c>
      <c r="N3" s="17">
        <v>46056</v>
      </c>
      <c r="O3" s="17">
        <f t="shared" si="1"/>
        <v>46326</v>
      </c>
      <c r="P3" s="17" t="str">
        <f t="shared" si="2"/>
        <v>TX_CRA2026_302-Impl. FO</v>
      </c>
      <c r="Q3" s="17" t="str">
        <f>+VLOOKUP(B3,'[1]Consolidado Sitios'!B:D,3,0)</f>
        <v>M0850</v>
      </c>
      <c r="R3" s="17" t="str">
        <f>VLOOKUP(B3,'[1]Consolidado Sitios'!B:E,4,0)</f>
        <v>CRA MOVIL 2026</v>
      </c>
      <c r="S3" s="20" t="s">
        <v>34</v>
      </c>
      <c r="T3" s="17" t="s">
        <v>35</v>
      </c>
    </row>
    <row r="4" spans="2:20" x14ac:dyDescent="0.35">
      <c r="B4" s="16" t="s">
        <v>36</v>
      </c>
      <c r="C4" s="16" t="str">
        <f>+VLOOKUP(B4,'[1]Consolidado Sitios'!$B:$K,2,0)</f>
        <v>0100136_LM_Bolivia to 0100240_LM_Tingo_Maria</v>
      </c>
      <c r="D4" s="16" t="s">
        <v>29</v>
      </c>
      <c r="E4" s="16" t="s">
        <v>37</v>
      </c>
      <c r="F4" s="16" t="s">
        <v>38</v>
      </c>
      <c r="G4" s="17" t="s">
        <v>39</v>
      </c>
      <c r="H4" s="16" t="s">
        <v>33</v>
      </c>
      <c r="I4" s="16" t="s">
        <v>25</v>
      </c>
      <c r="J4" s="16">
        <v>1</v>
      </c>
      <c r="K4" s="18">
        <v>21003.69</v>
      </c>
      <c r="L4" s="19">
        <f t="shared" si="0"/>
        <v>21003.69</v>
      </c>
      <c r="M4" s="17">
        <v>46046</v>
      </c>
      <c r="N4" s="17">
        <v>46056</v>
      </c>
      <c r="O4" s="17">
        <f t="shared" si="1"/>
        <v>46326</v>
      </c>
      <c r="P4" s="17" t="str">
        <f t="shared" si="2"/>
        <v>TX_CRA2026_106-Impl. FO</v>
      </c>
      <c r="Q4" s="17" t="str">
        <f>+VLOOKUP(B4,'[1]Consolidado Sitios'!B:D,3,0)</f>
        <v>M0825</v>
      </c>
      <c r="R4" s="17" t="str">
        <f>VLOOKUP(B4,'[1]Consolidado Sitios'!B:E,4,0)</f>
        <v>CRA MOVIL ADELANTO Q1 2026</v>
      </c>
      <c r="S4" s="20" t="s">
        <v>40</v>
      </c>
      <c r="T4" s="17" t="s">
        <v>35</v>
      </c>
    </row>
    <row r="5" spans="2:20" x14ac:dyDescent="0.35">
      <c r="B5" s="16" t="s">
        <v>41</v>
      </c>
      <c r="C5" s="16" t="str">
        <f>+VLOOKUP(B5,'[1]Consolidado Sitios'!$B:$K,2,0)</f>
        <v>0100232_LM_Rivadavia to 0105642_LM_Civico_Vitarte</v>
      </c>
      <c r="D5" s="16" t="s">
        <v>29</v>
      </c>
      <c r="E5" s="16" t="s">
        <v>42</v>
      </c>
      <c r="F5" s="16" t="s">
        <v>43</v>
      </c>
      <c r="G5" s="17" t="s">
        <v>44</v>
      </c>
      <c r="H5" s="16" t="s">
        <v>33</v>
      </c>
      <c r="I5" s="16" t="s">
        <v>25</v>
      </c>
      <c r="J5" s="16">
        <v>1</v>
      </c>
      <c r="K5" s="18">
        <v>136441.53</v>
      </c>
      <c r="L5" s="19">
        <f t="shared" si="0"/>
        <v>136441.53</v>
      </c>
      <c r="M5" s="17">
        <v>46046</v>
      </c>
      <c r="N5" s="17">
        <v>46056</v>
      </c>
      <c r="O5" s="17">
        <f t="shared" si="1"/>
        <v>46326</v>
      </c>
      <c r="P5" s="17" t="str">
        <f t="shared" si="2"/>
        <v>TX_CRA2026_174-Impl. FO</v>
      </c>
      <c r="Q5" s="17" t="str">
        <f>+VLOOKUP(B5,'[1]Consolidado Sitios'!B:D,3,0)</f>
        <v>M0850</v>
      </c>
      <c r="R5" s="17" t="str">
        <f>VLOOKUP(B5,'[1]Consolidado Sitios'!B:E,4,0)</f>
        <v>CRA MOVIL 2026</v>
      </c>
      <c r="S5" s="20" t="s">
        <v>34</v>
      </c>
      <c r="T5" s="17" t="s">
        <v>35</v>
      </c>
    </row>
    <row r="6" spans="2:20" x14ac:dyDescent="0.35">
      <c r="B6" s="16" t="s">
        <v>45</v>
      </c>
      <c r="C6" s="16" t="str">
        <f>+VLOOKUP(B6,'[1]Consolidado Sitios'!$B:$K,2,0)</f>
        <v>010251392_LM_Amauta_R1 to 0105597_LM_Dinamarca</v>
      </c>
      <c r="D6" s="16" t="s">
        <v>29</v>
      </c>
      <c r="E6" s="16" t="s">
        <v>37</v>
      </c>
      <c r="F6" s="16" t="s">
        <v>46</v>
      </c>
      <c r="G6" s="17" t="s">
        <v>39</v>
      </c>
      <c r="H6" s="16" t="s">
        <v>33</v>
      </c>
      <c r="I6" s="16" t="s">
        <v>25</v>
      </c>
      <c r="J6" s="16">
        <v>1</v>
      </c>
      <c r="K6" s="18">
        <v>8928.6299999999992</v>
      </c>
      <c r="L6" s="19">
        <f t="shared" si="0"/>
        <v>8928.6299999999992</v>
      </c>
      <c r="M6" s="17">
        <v>46046</v>
      </c>
      <c r="N6" s="17">
        <v>46056</v>
      </c>
      <c r="O6" s="17">
        <f t="shared" si="1"/>
        <v>46326</v>
      </c>
      <c r="P6" s="17" t="str">
        <f t="shared" si="2"/>
        <v>TX_CRA2026_262-Impl. FO</v>
      </c>
      <c r="Q6" s="17" t="str">
        <f>+VLOOKUP(B6,'[1]Consolidado Sitios'!B:D,3,0)</f>
        <v>M0850</v>
      </c>
      <c r="R6" s="17" t="str">
        <f>VLOOKUP(B6,'[1]Consolidado Sitios'!B:E,4,0)</f>
        <v>CRA MOVIL 2026</v>
      </c>
      <c r="S6" s="20" t="s">
        <v>34</v>
      </c>
      <c r="T6" s="17" t="s">
        <v>35</v>
      </c>
    </row>
    <row r="7" spans="2:20" x14ac:dyDescent="0.35">
      <c r="B7" s="16" t="s">
        <v>47</v>
      </c>
      <c r="C7" s="16" t="str">
        <f>+VLOOKUP(B7,'[1]Consolidado Sitios'!$B:$K,2,0)</f>
        <v>0100889_IC_Viena_Madrid to 010210605_IC_Dijisa_Ica</v>
      </c>
      <c r="D7" s="16" t="s">
        <v>29</v>
      </c>
      <c r="E7" s="16" t="s">
        <v>48</v>
      </c>
      <c r="F7" s="16" t="s">
        <v>49</v>
      </c>
      <c r="G7" s="17" t="s">
        <v>50</v>
      </c>
      <c r="H7" s="16" t="s">
        <v>33</v>
      </c>
      <c r="I7" s="16" t="s">
        <v>25</v>
      </c>
      <c r="J7" s="16">
        <v>1</v>
      </c>
      <c r="K7" s="18">
        <v>65174.85</v>
      </c>
      <c r="L7" s="19">
        <f t="shared" si="0"/>
        <v>65174.85</v>
      </c>
      <c r="M7" s="17">
        <v>46056</v>
      </c>
      <c r="N7" s="17">
        <v>46062</v>
      </c>
      <c r="O7" s="17">
        <f t="shared" si="1"/>
        <v>46332</v>
      </c>
      <c r="P7" s="17" t="str">
        <f t="shared" si="2"/>
        <v>TX_CRA2026_167-Impl. FO</v>
      </c>
      <c r="Q7" s="17" t="str">
        <f>+VLOOKUP(B7,'[1]Consolidado Sitios'!B:D,3,0)</f>
        <v>M0850</v>
      </c>
      <c r="R7" s="17" t="str">
        <f>VLOOKUP(B7,'[1]Consolidado Sitios'!B:E,4,0)</f>
        <v>CRA MOVIL 2026</v>
      </c>
      <c r="S7" s="20" t="s">
        <v>34</v>
      </c>
      <c r="T7" s="17" t="s">
        <v>35</v>
      </c>
    </row>
    <row r="8" spans="2:20" x14ac:dyDescent="0.35">
      <c r="B8" s="16" t="s">
        <v>51</v>
      </c>
      <c r="C8" s="16" t="str">
        <f>+VLOOKUP(B8,'[1]Consolidado Sitios'!$B:$K,2,0)</f>
        <v>0105263_LM_El_Alamo_0100149_LM_Trapiche</v>
      </c>
      <c r="D8" s="16" t="s">
        <v>29</v>
      </c>
      <c r="E8" s="16" t="s">
        <v>52</v>
      </c>
      <c r="F8" s="16" t="s">
        <v>53</v>
      </c>
      <c r="G8" s="17" t="s">
        <v>54</v>
      </c>
      <c r="H8" s="16" t="s">
        <v>55</v>
      </c>
      <c r="I8" s="16" t="s">
        <v>25</v>
      </c>
      <c r="J8" s="16">
        <v>1</v>
      </c>
      <c r="K8" s="18">
        <v>2632.78</v>
      </c>
      <c r="L8" s="19">
        <f t="shared" si="0"/>
        <v>2632.78</v>
      </c>
      <c r="M8" s="17">
        <v>46055</v>
      </c>
      <c r="N8" s="17">
        <v>46062</v>
      </c>
      <c r="O8" s="17">
        <f t="shared" si="1"/>
        <v>46332</v>
      </c>
      <c r="P8" s="17" t="str">
        <f t="shared" si="2"/>
        <v>TX_CRA2026_335-Impl. FO</v>
      </c>
      <c r="Q8" s="17" t="str">
        <f>+VLOOKUP(B8,'[1]Consolidado Sitios'!B:D,3,0)</f>
        <v>M0850</v>
      </c>
      <c r="R8" s="17" t="str">
        <f>VLOOKUP(B8,'[1]Consolidado Sitios'!B:E,4,0)</f>
        <v>CRA MOVIL 2026</v>
      </c>
      <c r="S8" s="20" t="s">
        <v>34</v>
      </c>
      <c r="T8" s="17" t="s">
        <v>35</v>
      </c>
    </row>
    <row r="9" spans="2:20" x14ac:dyDescent="0.35">
      <c r="B9" s="16" t="s">
        <v>56</v>
      </c>
      <c r="C9" s="16" t="str">
        <f>+VLOOKUP(B9,'[1]Consolidado Sitios'!$B:$K,2,0)</f>
        <v>0105376_LM_Los_Gallinazos_0100373_LM_Carabayllo</v>
      </c>
      <c r="D9" s="16" t="s">
        <v>57</v>
      </c>
      <c r="E9" s="16" t="s">
        <v>58</v>
      </c>
      <c r="F9" s="16" t="s">
        <v>53</v>
      </c>
      <c r="G9" s="17" t="s">
        <v>59</v>
      </c>
      <c r="H9" s="16" t="s">
        <v>55</v>
      </c>
      <c r="I9" s="16" t="s">
        <v>25</v>
      </c>
      <c r="J9" s="16">
        <v>1</v>
      </c>
      <c r="K9" s="18">
        <v>2632.78</v>
      </c>
      <c r="L9" s="19">
        <f t="shared" si="0"/>
        <v>2632.78</v>
      </c>
      <c r="M9" s="17">
        <v>46055</v>
      </c>
      <c r="N9" s="17">
        <v>46062</v>
      </c>
      <c r="O9" s="17">
        <f t="shared" si="1"/>
        <v>46332</v>
      </c>
      <c r="P9" s="17" t="str">
        <f t="shared" si="2"/>
        <v>TX_CRA2026_336-Impl. MW</v>
      </c>
      <c r="Q9" s="17" t="str">
        <f>+VLOOKUP(B9,'[1]Consolidado Sitios'!B:D,3,0)</f>
        <v>M0850</v>
      </c>
      <c r="R9" s="17" t="str">
        <f>VLOOKUP(B9,'[1]Consolidado Sitios'!B:E,4,0)</f>
        <v>CRA MOVIL 2026</v>
      </c>
      <c r="S9" s="20" t="s">
        <v>60</v>
      </c>
      <c r="T9" s="17" t="s">
        <v>61</v>
      </c>
    </row>
    <row r="10" spans="2:20" x14ac:dyDescent="0.35">
      <c r="B10" s="16" t="s">
        <v>62</v>
      </c>
      <c r="C10" s="16" t="str">
        <f>+VLOOKUP(B10,'[1]Consolidado Sitios'!$B:$K,2,0)</f>
        <v>0105134_LM_El_Altiplano_0100144_LM_Pamplona</v>
      </c>
      <c r="D10" s="16" t="s">
        <v>29</v>
      </c>
      <c r="E10" s="16" t="s">
        <v>37</v>
      </c>
      <c r="F10" s="16" t="s">
        <v>53</v>
      </c>
      <c r="G10" s="17" t="s">
        <v>39</v>
      </c>
      <c r="H10" s="16" t="s">
        <v>33</v>
      </c>
      <c r="I10" s="16" t="s">
        <v>25</v>
      </c>
      <c r="J10" s="16">
        <v>1</v>
      </c>
      <c r="K10" s="18">
        <v>2632.78</v>
      </c>
      <c r="L10" s="19">
        <f t="shared" si="0"/>
        <v>2632.78</v>
      </c>
      <c r="M10" s="17">
        <v>46055</v>
      </c>
      <c r="N10" s="17">
        <v>46062</v>
      </c>
      <c r="O10" s="17">
        <f t="shared" si="1"/>
        <v>46332</v>
      </c>
      <c r="P10" s="17" t="str">
        <f t="shared" si="2"/>
        <v>TX_CRA2026_337-Impl. FO</v>
      </c>
      <c r="Q10" s="17" t="str">
        <f>+VLOOKUP(B10,'[1]Consolidado Sitios'!B:D,3,0)</f>
        <v>M0850</v>
      </c>
      <c r="R10" s="17" t="str">
        <f>VLOOKUP(B10,'[1]Consolidado Sitios'!B:E,4,0)</f>
        <v>CRA MOVIL 2026</v>
      </c>
      <c r="S10" s="20" t="s">
        <v>34</v>
      </c>
      <c r="T10" s="17" t="s">
        <v>35</v>
      </c>
    </row>
  </sheetData>
  <autoFilter ref="B1:T11" xr:uid="{71D35FC1-063D-4E31-BD2E-15CA15376464}"/>
  <conditionalFormatting sqref="P1:P10"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Líneas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CARRASCO CANCHARI</dc:creator>
  <cp:lastModifiedBy>Ccopacondori Vargas, Sebastian Alexis</cp:lastModifiedBy>
  <dcterms:created xsi:type="dcterms:W3CDTF">2026-02-20T16:20:11Z</dcterms:created>
  <dcterms:modified xsi:type="dcterms:W3CDTF">2026-03-04T06:44:58Z</dcterms:modified>
</cp:coreProperties>
</file>