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Scripts jupyter/CAPEX LTS/"/>
    </mc:Choice>
  </mc:AlternateContent>
  <xr:revisionPtr revIDLastSave="138" documentId="13_ncr:1_{9F0E49BC-59BF-4256-9EAE-59E2AC605848}" xr6:coauthVersionLast="47" xr6:coauthVersionMax="47" xr10:uidLastSave="{E227814A-0877-4D9C-8D1D-402D7189F75B}"/>
  <bookViews>
    <workbookView xWindow="-110" yWindow="-110" windowWidth="19420" windowHeight="10300" xr2:uid="{E5A027E0-7404-4D4A-92F8-F4CCF1D69A51}"/>
  </bookViews>
  <sheets>
    <sheet name="Macro" sheetId="1" r:id="rId1"/>
    <sheet name="Expansiones" sheetId="2" r:id="rId2"/>
    <sheet name="Vulnerabilidad" sheetId="3" r:id="rId3"/>
    <sheet name="Banda 3.5 GHZ" sheetId="4" r:id="rId4"/>
    <sheet name="Energi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4" l="1"/>
  <c r="Q7" i="4"/>
  <c r="Q6" i="4"/>
  <c r="Q5" i="4"/>
  <c r="Q4" i="4"/>
  <c r="Q3" i="4"/>
  <c r="Q2" i="4"/>
  <c r="Q3" i="2"/>
  <c r="Q2" i="3"/>
  <c r="Q8" i="2"/>
  <c r="Q7" i="2"/>
  <c r="Q6" i="2"/>
  <c r="Q5" i="2"/>
  <c r="Q4" i="2"/>
  <c r="Q2" i="2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<sst xmlns="http://schemas.openxmlformats.org/spreadsheetml/2006/main" count="121" uniqueCount="45">
  <si>
    <t>Proyecto</t>
  </si>
  <si>
    <t>Tipo</t>
  </si>
  <si>
    <t>Proyecto Cobertura FDD - TDD Alquiler Roll Out - 2025</t>
  </si>
  <si>
    <t>BTS</t>
  </si>
  <si>
    <t>Regulatorio 700 Nuevos Poligonos + CVM - 2025</t>
  </si>
  <si>
    <t>Roll Out - 2025</t>
  </si>
  <si>
    <t>CON TORRERA</t>
  </si>
  <si>
    <t>Driver Fcst</t>
  </si>
  <si>
    <t>Total</t>
  </si>
  <si>
    <t>Activación 1900</t>
  </si>
  <si>
    <t>Expansiones</t>
  </si>
  <si>
    <t>Regulatorio 700</t>
  </si>
  <si>
    <t>D2C-2025</t>
  </si>
  <si>
    <t>RANCO FDD - 2025</t>
  </si>
  <si>
    <t>RANCO TDD - 2025</t>
  </si>
  <si>
    <t>Sectores reactivos</t>
  </si>
  <si>
    <t>Sitios Nuevos TX (RO, 5G, COB INDOOR, REG, B2C, B2B)</t>
  </si>
  <si>
    <t>Expansion APT - 2025</t>
  </si>
  <si>
    <t>Vulnerabilidad - 2025</t>
  </si>
  <si>
    <t>Vulnerabilidad</t>
  </si>
  <si>
    <t>Incidencia</t>
  </si>
  <si>
    <t>Ene-26</t>
  </si>
  <si>
    <t>Feb-26</t>
  </si>
  <si>
    <t>Mar-26</t>
  </si>
  <si>
    <t>Abr-26</t>
  </si>
  <si>
    <t>May-26</t>
  </si>
  <si>
    <t>Jun-26</t>
  </si>
  <si>
    <t>Jul-26</t>
  </si>
  <si>
    <t>Ago-26</t>
  </si>
  <si>
    <t>Set-26</t>
  </si>
  <si>
    <t>Oct-26</t>
  </si>
  <si>
    <t>Nov-26</t>
  </si>
  <si>
    <t>Dic-26</t>
  </si>
  <si>
    <t>Liberaciones de espectro</t>
  </si>
  <si>
    <t>COI Adicional (5G Z1 A/B1/B2)</t>
  </si>
  <si>
    <t>MUER</t>
  </si>
  <si>
    <t>MUER MACRO</t>
  </si>
  <si>
    <t>COI Espectro (4G Rural)</t>
  </si>
  <si>
    <t>3.5 Sitios capacidad</t>
  </si>
  <si>
    <t>Sitios nuevos TX</t>
  </si>
  <si>
    <t>Banda</t>
  </si>
  <si>
    <t>Proyecto Cobertura FDD - TDD Energía Despliegue</t>
  </si>
  <si>
    <t>Macros</t>
  </si>
  <si>
    <t>Proyectos de Despliegue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</si>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</sst>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3" borderId="0" xfId="0" applyNumberFormat="1" applyFill="1"/>
    <xf numFmtId="3" fontId="0" fillId="3" borderId="0" xfId="0" applyNumberFormat="1" applyFill="1" applyAlignment="1">
      <alignment horizontal="center"/>
    </xf>
    <xf numFmtId="17" fontId="4" fillId="4" borderId="2" xfId="0" applyNumberFormat="1" applyFont="1" applyFill="1" applyBorder="1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0" fontId="0" fillId="3" borderId="0" xfId="0" applyFill="1"/>
    <xf numFmtId="9" fontId="0" fillId="5" borderId="0" xfId="0" applyNumberFormat="1" applyFill="1"/>
    <xf numFmtId="9" fontId="0" fillId="6" borderId="0" xfId="0" applyNumberFormat="1" applyFill="1"/>
    <xf numFmtId="9" fontId="0" fillId="5" borderId="0" xfId="0" applyNumberFormat="1" applyFill="1" applyAlignment="1">
      <alignment horizontal="center"/>
    </xf>
    <xf numFmtId="49" fontId="0" fillId="0" borderId="0" xfId="0" applyNumberFormat="1"/>
    <xf numFmtId="49" fontId="4" fillId="4" borderId="2" xfId="0" applyNumberFormat="1" applyFont="1" applyFill="1" applyBorder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33DC-0372-422B-ABC7-2751B13FE803}">
  <dimension ref="A1:Q11"/>
  <sheetViews>
    <sheetView tabSelected="1" zoomScale="70" zoomScaleNormal="70" workbookViewId="0">
      <selection activeCell="D7" sqref="D7"/>
    </sheetView>
  </sheetViews>
  <sheetFormatPr baseColWidth="10" defaultRowHeight="14.5" x14ac:dyDescent="0.35"/>
  <cols>
    <col min="1" max="1" width="44.36328125" bestFit="1" customWidth="1"/>
    <col min="2" max="3" width="14.26953125" customWidth="1"/>
    <col min="4" max="4" width="13.453125" customWidth="1"/>
  </cols>
  <sheetData>
    <row r="1" spans="1:17" x14ac:dyDescent="0.35">
      <c r="A1" s="1" t="s">
        <v>0</v>
      </c>
      <c r="B1" s="2" t="s">
        <v>1</v>
      </c>
      <c r="C1" s="2" t="s">
        <v>20</v>
      </c>
      <c r="D1" s="2" t="s">
        <v>7</v>
      </c>
      <c r="E1" s="6" t="s">
        <v>21</v>
      </c>
      <c r="F1" s="14" t="s">
        <v>22</v>
      </c>
      <c r="G1" s="14" t="s">
        <v>23</v>
      </c>
      <c r="H1" s="14" t="s">
        <v>24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4" t="s">
        <v>31</v>
      </c>
      <c r="P1" s="14" t="s">
        <v>32</v>
      </c>
      <c r="Q1" s="6" t="s">
        <v>8</v>
      </c>
    </row>
    <row r="2" spans="1:17" x14ac:dyDescent="0.35">
      <c r="A2" t="s">
        <v>2</v>
      </c>
      <c r="B2" s="3" t="s">
        <v>3</v>
      </c>
      <c r="C2" s="12">
        <v>1</v>
      </c>
      <c r="D2" s="5">
        <v>4100</v>
      </c>
      <c r="E2" s="8">
        <v>2.65</v>
      </c>
      <c r="F2" s="8">
        <v>5.3</v>
      </c>
      <c r="G2" s="8">
        <v>7.95</v>
      </c>
      <c r="H2" s="8">
        <v>15.9</v>
      </c>
      <c r="I2" s="8">
        <v>15.9</v>
      </c>
      <c r="J2" s="8">
        <v>17.490000000000002</v>
      </c>
      <c r="K2" s="8">
        <v>7.95</v>
      </c>
      <c r="L2" s="8">
        <v>5.3</v>
      </c>
      <c r="M2" s="8">
        <v>0</v>
      </c>
      <c r="N2" s="8">
        <v>4.7699999999999996</v>
      </c>
      <c r="O2" s="8">
        <v>5.3</v>
      </c>
      <c r="P2" s="8">
        <v>5.3</v>
      </c>
      <c r="Q2" s="8">
        <f t="shared" ref="Q2:Q7" si="0">+SUM(E2:P2)</f>
        <v>93.809999999999988</v>
      </c>
    </row>
    <row r="3" spans="1:17" x14ac:dyDescent="0.35">
      <c r="A3" t="s">
        <v>4</v>
      </c>
      <c r="B3" s="3" t="s">
        <v>3</v>
      </c>
      <c r="C3" s="12">
        <v>1</v>
      </c>
      <c r="D3" s="5">
        <v>4100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1.59</v>
      </c>
      <c r="M3" s="8">
        <v>0</v>
      </c>
      <c r="N3" s="8">
        <v>1.06</v>
      </c>
      <c r="O3" s="8">
        <v>1.06</v>
      </c>
      <c r="P3" s="8">
        <v>0</v>
      </c>
      <c r="Q3" s="8">
        <f t="shared" si="0"/>
        <v>3.7100000000000004</v>
      </c>
    </row>
    <row r="4" spans="1:17" x14ac:dyDescent="0.35">
      <c r="A4" t="s">
        <v>5</v>
      </c>
      <c r="B4" s="3" t="s">
        <v>3</v>
      </c>
      <c r="C4" s="12">
        <v>1</v>
      </c>
      <c r="D4" s="5">
        <v>4100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2.12</v>
      </c>
      <c r="K4" s="8">
        <v>5.3</v>
      </c>
      <c r="L4" s="8">
        <v>5.3</v>
      </c>
      <c r="M4" s="8">
        <v>5.83</v>
      </c>
      <c r="N4" s="8">
        <v>3.71</v>
      </c>
      <c r="O4" s="8">
        <v>1.06</v>
      </c>
      <c r="P4" s="8">
        <v>0</v>
      </c>
      <c r="Q4" s="8">
        <f t="shared" si="0"/>
        <v>23.319999999999997</v>
      </c>
    </row>
    <row r="5" spans="1:17" x14ac:dyDescent="0.35">
      <c r="A5" t="s">
        <v>2</v>
      </c>
      <c r="B5" s="3" t="s">
        <v>6</v>
      </c>
      <c r="C5" s="12">
        <v>1</v>
      </c>
      <c r="D5" s="5">
        <v>3800</v>
      </c>
      <c r="E5" s="8">
        <v>2.35</v>
      </c>
      <c r="F5" s="8">
        <v>4.6999999999999993</v>
      </c>
      <c r="G5" s="8">
        <v>7.05</v>
      </c>
      <c r="H5" s="8">
        <v>14.1</v>
      </c>
      <c r="I5" s="8">
        <v>14.1</v>
      </c>
      <c r="J5" s="8">
        <v>15.51</v>
      </c>
      <c r="K5" s="8">
        <v>7.05</v>
      </c>
      <c r="L5" s="8">
        <v>4.6999999999999993</v>
      </c>
      <c r="M5" s="8">
        <v>0</v>
      </c>
      <c r="N5" s="8">
        <v>4.2299999999999995</v>
      </c>
      <c r="O5" s="8">
        <v>4.6999999999999993</v>
      </c>
      <c r="P5" s="8">
        <v>4.6999999999999993</v>
      </c>
      <c r="Q5" s="8">
        <f t="shared" si="0"/>
        <v>83.190000000000012</v>
      </c>
    </row>
    <row r="6" spans="1:17" x14ac:dyDescent="0.35">
      <c r="A6" t="s">
        <v>4</v>
      </c>
      <c r="B6" s="3" t="s">
        <v>6</v>
      </c>
      <c r="C6" s="12">
        <v>1</v>
      </c>
      <c r="D6" s="5">
        <v>3800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1.41</v>
      </c>
      <c r="M6" s="8">
        <v>0</v>
      </c>
      <c r="N6" s="8">
        <v>0.94</v>
      </c>
      <c r="O6" s="8">
        <v>0.94</v>
      </c>
      <c r="P6" s="8">
        <v>0</v>
      </c>
      <c r="Q6" s="8">
        <f t="shared" si="0"/>
        <v>3.2899999999999996</v>
      </c>
    </row>
    <row r="7" spans="1:17" x14ac:dyDescent="0.35">
      <c r="A7" t="s">
        <v>5</v>
      </c>
      <c r="B7" s="3" t="s">
        <v>6</v>
      </c>
      <c r="C7" s="12">
        <v>1</v>
      </c>
      <c r="D7" s="5">
        <v>3800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1.88</v>
      </c>
      <c r="K7" s="8">
        <v>4.6999999999999993</v>
      </c>
      <c r="L7" s="8">
        <v>4.6999999999999993</v>
      </c>
      <c r="M7" s="8">
        <v>5.17</v>
      </c>
      <c r="N7" s="8">
        <v>3.29</v>
      </c>
      <c r="O7" s="8">
        <v>0.94</v>
      </c>
      <c r="P7" s="8">
        <v>0</v>
      </c>
      <c r="Q7" s="8">
        <f t="shared" si="0"/>
        <v>20.679999999999996</v>
      </c>
    </row>
    <row r="11" spans="1:17" x14ac:dyDescent="0.35">
      <c r="E11" s="1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EF4E-D9C8-4288-8102-79DD23BF8ECA}">
  <dimension ref="A1:Q9"/>
  <sheetViews>
    <sheetView zoomScale="70" zoomScaleNormal="70" workbookViewId="0">
      <selection activeCell="D1" sqref="D1"/>
    </sheetView>
  </sheetViews>
  <sheetFormatPr baseColWidth="10" defaultRowHeight="14.5" x14ac:dyDescent="0.35"/>
  <cols>
    <col min="1" max="1" width="46.1796875" bestFit="1" customWidth="1"/>
  </cols>
  <sheetData>
    <row r="1" spans="1:17" x14ac:dyDescent="0.35">
      <c r="A1" s="1" t="s">
        <v>0</v>
      </c>
      <c r="B1" s="2" t="s">
        <v>1</v>
      </c>
      <c r="C1" s="2" t="s">
        <v>20</v>
      </c>
      <c r="D1" s="2" t="s">
        <v>7</v>
      </c>
      <c r="E1" s="6" t="s">
        <v>21</v>
      </c>
      <c r="F1" s="14" t="s">
        <v>22</v>
      </c>
      <c r="G1" s="14" t="s">
        <v>23</v>
      </c>
      <c r="H1" s="14" t="s">
        <v>24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4" t="s">
        <v>31</v>
      </c>
      <c r="P1" s="14" t="s">
        <v>32</v>
      </c>
      <c r="Q1" s="6" t="s">
        <v>8</v>
      </c>
    </row>
    <row r="2" spans="1:17" x14ac:dyDescent="0.35">
      <c r="A2" t="s">
        <v>9</v>
      </c>
      <c r="B2" s="3" t="s">
        <v>10</v>
      </c>
      <c r="C2" s="10">
        <v>0</v>
      </c>
      <c r="D2" s="9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f>+SUM(E2:P2)</f>
        <v>0</v>
      </c>
    </row>
    <row r="3" spans="1:17" x14ac:dyDescent="0.35">
      <c r="A3" t="s">
        <v>17</v>
      </c>
      <c r="B3" s="3" t="s">
        <v>10</v>
      </c>
      <c r="C3" s="10">
        <v>0.3</v>
      </c>
      <c r="D3" s="4">
        <v>1081.7983783783782</v>
      </c>
      <c r="E3" s="7">
        <v>28.5</v>
      </c>
      <c r="F3" s="7">
        <v>27.599999999999998</v>
      </c>
      <c r="G3" s="7">
        <v>18.599999999999998</v>
      </c>
      <c r="H3" s="7">
        <v>35.5</v>
      </c>
      <c r="I3" s="7">
        <v>16</v>
      </c>
      <c r="J3" s="7">
        <v>29</v>
      </c>
      <c r="K3" s="7">
        <v>39</v>
      </c>
      <c r="L3" s="7">
        <v>43</v>
      </c>
      <c r="M3" s="7">
        <v>43</v>
      </c>
      <c r="N3" s="7">
        <v>35</v>
      </c>
      <c r="O3" s="7">
        <v>35</v>
      </c>
      <c r="P3" s="7">
        <v>20</v>
      </c>
      <c r="Q3" s="7">
        <f>+SUM(E3:P3)</f>
        <v>370.2</v>
      </c>
    </row>
    <row r="4" spans="1:17" x14ac:dyDescent="0.35">
      <c r="A4" t="s">
        <v>11</v>
      </c>
      <c r="B4" s="3" t="s">
        <v>10</v>
      </c>
      <c r="C4" s="10">
        <v>0.1</v>
      </c>
      <c r="D4" s="4">
        <v>1152</v>
      </c>
      <c r="E4" s="7">
        <v>0</v>
      </c>
      <c r="F4" s="7">
        <v>0</v>
      </c>
      <c r="G4" s="7">
        <v>0</v>
      </c>
      <c r="H4" s="7">
        <v>0</v>
      </c>
      <c r="I4" s="7">
        <v>4</v>
      </c>
      <c r="J4" s="7">
        <v>4</v>
      </c>
      <c r="K4" s="7">
        <v>7</v>
      </c>
      <c r="L4" s="7">
        <v>7</v>
      </c>
      <c r="M4" s="7">
        <v>7</v>
      </c>
      <c r="N4" s="7">
        <v>7</v>
      </c>
      <c r="O4" s="7">
        <v>10</v>
      </c>
      <c r="P4" s="7">
        <v>0</v>
      </c>
      <c r="Q4" s="7">
        <f t="shared" ref="Q4:Q8" si="0">+SUM(E4:P4)</f>
        <v>46</v>
      </c>
    </row>
    <row r="5" spans="1:17" x14ac:dyDescent="0.35">
      <c r="A5" t="s">
        <v>12</v>
      </c>
      <c r="B5" s="3" t="s">
        <v>10</v>
      </c>
      <c r="C5" s="11">
        <v>1</v>
      </c>
      <c r="D5" s="4">
        <v>1152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f t="shared" si="0"/>
        <v>0</v>
      </c>
    </row>
    <row r="6" spans="1:17" x14ac:dyDescent="0.35">
      <c r="A6" t="s">
        <v>13</v>
      </c>
      <c r="B6" s="3" t="s">
        <v>10</v>
      </c>
      <c r="C6" s="10">
        <v>0.3</v>
      </c>
      <c r="D6" s="4">
        <v>979.75796356275305</v>
      </c>
      <c r="E6" s="7">
        <v>0</v>
      </c>
      <c r="F6" s="7">
        <v>0</v>
      </c>
      <c r="G6" s="7">
        <v>0</v>
      </c>
      <c r="H6" s="7">
        <v>9</v>
      </c>
      <c r="I6" s="7">
        <v>16</v>
      </c>
      <c r="J6" s="7">
        <v>25</v>
      </c>
      <c r="K6" s="7">
        <v>25</v>
      </c>
      <c r="L6" s="7">
        <v>25</v>
      </c>
      <c r="M6" s="7">
        <v>25</v>
      </c>
      <c r="N6" s="7">
        <v>25</v>
      </c>
      <c r="O6" s="7">
        <v>25</v>
      </c>
      <c r="P6" s="7">
        <v>25</v>
      </c>
      <c r="Q6" s="7">
        <f t="shared" si="0"/>
        <v>200</v>
      </c>
    </row>
    <row r="7" spans="1:17" x14ac:dyDescent="0.35">
      <c r="A7" t="s">
        <v>14</v>
      </c>
      <c r="B7" s="3" t="s">
        <v>10</v>
      </c>
      <c r="C7" s="10">
        <v>0.35</v>
      </c>
      <c r="D7" s="4">
        <v>1405.7313684210524</v>
      </c>
      <c r="E7" s="7">
        <v>0</v>
      </c>
      <c r="F7" s="7">
        <v>0</v>
      </c>
      <c r="G7" s="7">
        <v>0</v>
      </c>
      <c r="H7" s="7">
        <v>12</v>
      </c>
      <c r="I7" s="7">
        <v>13</v>
      </c>
      <c r="J7" s="7">
        <v>75</v>
      </c>
      <c r="K7" s="7">
        <v>100</v>
      </c>
      <c r="L7" s="7">
        <v>100</v>
      </c>
      <c r="M7" s="7">
        <v>100</v>
      </c>
      <c r="N7" s="7">
        <v>100</v>
      </c>
      <c r="O7" s="7">
        <v>100</v>
      </c>
      <c r="P7" s="7">
        <v>23</v>
      </c>
      <c r="Q7" s="7">
        <f t="shared" si="0"/>
        <v>623</v>
      </c>
    </row>
    <row r="8" spans="1:17" x14ac:dyDescent="0.35">
      <c r="A8" t="s">
        <v>15</v>
      </c>
      <c r="B8" s="3" t="s">
        <v>10</v>
      </c>
      <c r="C8" s="10">
        <v>0.1</v>
      </c>
      <c r="D8" s="4">
        <v>1500</v>
      </c>
      <c r="E8" s="7">
        <v>0</v>
      </c>
      <c r="F8" s="7">
        <v>0</v>
      </c>
      <c r="G8" s="7">
        <v>0</v>
      </c>
      <c r="H8" s="7">
        <v>1</v>
      </c>
      <c r="I8" s="7">
        <v>1</v>
      </c>
      <c r="J8" s="7">
        <v>1</v>
      </c>
      <c r="K8" s="7">
        <v>2</v>
      </c>
      <c r="L8" s="7">
        <v>2</v>
      </c>
      <c r="M8" s="7">
        <v>0</v>
      </c>
      <c r="N8" s="7">
        <v>0</v>
      </c>
      <c r="O8" s="7">
        <v>0</v>
      </c>
      <c r="P8" s="7">
        <v>0</v>
      </c>
      <c r="Q8" s="7">
        <f t="shared" si="0"/>
        <v>7</v>
      </c>
    </row>
    <row r="9" spans="1:17" x14ac:dyDescent="0.35">
      <c r="A9" t="s">
        <v>16</v>
      </c>
      <c r="B9" s="3" t="s">
        <v>10</v>
      </c>
      <c r="C9" s="10">
        <v>0.15</v>
      </c>
      <c r="D9" s="4">
        <v>1082</v>
      </c>
      <c r="E9" s="7">
        <v>5</v>
      </c>
      <c r="F9" s="7">
        <v>10</v>
      </c>
      <c r="G9" s="7">
        <v>15</v>
      </c>
      <c r="H9" s="7">
        <v>30</v>
      </c>
      <c r="I9" s="7">
        <v>30</v>
      </c>
      <c r="J9" s="7">
        <v>37.000000000000007</v>
      </c>
      <c r="K9" s="7">
        <v>25</v>
      </c>
      <c r="L9" s="7">
        <v>23</v>
      </c>
      <c r="M9" s="7">
        <v>11</v>
      </c>
      <c r="N9" s="7">
        <v>18</v>
      </c>
      <c r="O9" s="7">
        <v>13.999999999999998</v>
      </c>
      <c r="P9" s="7">
        <v>10</v>
      </c>
      <c r="Q9" s="7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FBDE-71C4-4F27-BECF-A4BF00D28C81}">
  <dimension ref="A1:Q2"/>
  <sheetViews>
    <sheetView zoomScale="70" zoomScaleNormal="70" workbookViewId="0">
      <selection activeCell="C1" sqref="C1:D2"/>
    </sheetView>
  </sheetViews>
  <sheetFormatPr baseColWidth="10" defaultRowHeight="14.5" x14ac:dyDescent="0.35"/>
  <cols>
    <col min="3" max="3" width="10.90625" style="2"/>
  </cols>
  <sheetData>
    <row r="1" spans="1:17" x14ac:dyDescent="0.35">
      <c r="A1" s="1" t="s">
        <v>0</v>
      </c>
      <c r="B1" s="2" t="s">
        <v>1</v>
      </c>
      <c r="C1" s="2" t="s">
        <v>20</v>
      </c>
      <c r="D1" s="2" t="s">
        <v>7</v>
      </c>
      <c r="E1" s="6" t="s">
        <v>21</v>
      </c>
      <c r="F1" s="14" t="s">
        <v>22</v>
      </c>
      <c r="G1" s="14" t="s">
        <v>23</v>
      </c>
      <c r="H1" s="14" t="s">
        <v>24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4" t="s">
        <v>31</v>
      </c>
      <c r="P1" s="14" t="s">
        <v>32</v>
      </c>
      <c r="Q1" s="6" t="s">
        <v>8</v>
      </c>
    </row>
    <row r="2" spans="1:17" x14ac:dyDescent="0.35">
      <c r="A2" t="s">
        <v>18</v>
      </c>
      <c r="B2" t="s">
        <v>19</v>
      </c>
      <c r="C2" s="10">
        <v>0.35</v>
      </c>
      <c r="D2" s="9">
        <v>1250</v>
      </c>
      <c r="E2" s="7">
        <v>1</v>
      </c>
      <c r="F2" s="7">
        <v>2</v>
      </c>
      <c r="G2" s="7">
        <v>2</v>
      </c>
      <c r="H2" s="7">
        <v>2</v>
      </c>
      <c r="I2" s="7">
        <v>3</v>
      </c>
      <c r="J2" s="7">
        <v>3</v>
      </c>
      <c r="K2" s="7">
        <v>3</v>
      </c>
      <c r="L2" s="7">
        <v>3</v>
      </c>
      <c r="M2" s="7">
        <v>2</v>
      </c>
      <c r="N2" s="7">
        <v>0</v>
      </c>
      <c r="O2" s="7">
        <v>0</v>
      </c>
      <c r="P2" s="7">
        <v>0</v>
      </c>
      <c r="Q2" s="7">
        <f>+SUM(E2:P2)</f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D997-B2D9-4790-B0DC-BA74BD740E7A}">
  <dimension ref="A1:Q9"/>
  <sheetViews>
    <sheetView zoomScale="70" zoomScaleNormal="70" workbookViewId="0">
      <selection activeCell="E2" sqref="E2:P8"/>
    </sheetView>
  </sheetViews>
  <sheetFormatPr baseColWidth="10" defaultRowHeight="14.5" x14ac:dyDescent="0.35"/>
  <cols>
    <col min="1" max="1" width="25" bestFit="1" customWidth="1"/>
  </cols>
  <sheetData>
    <row r="1" spans="1:17" x14ac:dyDescent="0.35">
      <c r="A1" s="1" t="s">
        <v>0</v>
      </c>
      <c r="B1" s="3" t="s">
        <v>1</v>
      </c>
      <c r="C1" s="2" t="s">
        <v>20</v>
      </c>
      <c r="D1" s="2" t="s">
        <v>7</v>
      </c>
      <c r="E1" s="6" t="s">
        <v>21</v>
      </c>
      <c r="F1" s="14" t="s">
        <v>22</v>
      </c>
      <c r="G1" s="14" t="s">
        <v>23</v>
      </c>
      <c r="H1" s="14" t="s">
        <v>24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4" t="s">
        <v>31</v>
      </c>
      <c r="P1" s="14" t="s">
        <v>32</v>
      </c>
      <c r="Q1" s="6" t="s">
        <v>8</v>
      </c>
    </row>
    <row r="2" spans="1:17" x14ac:dyDescent="0.35">
      <c r="A2" t="s">
        <v>33</v>
      </c>
      <c r="B2" s="3" t="s">
        <v>40</v>
      </c>
      <c r="C2" s="10">
        <v>0.05</v>
      </c>
      <c r="D2" s="9">
        <v>980</v>
      </c>
      <c r="E2">
        <v>75</v>
      </c>
      <c r="F2">
        <v>75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>
        <f>+SUM(E2:P2)</f>
        <v>150</v>
      </c>
    </row>
    <row r="3" spans="1:17" x14ac:dyDescent="0.35">
      <c r="A3" t="s">
        <v>34</v>
      </c>
      <c r="B3" s="3" t="s">
        <v>40</v>
      </c>
      <c r="C3" s="10">
        <v>0.2</v>
      </c>
      <c r="D3" s="9">
        <v>1082</v>
      </c>
      <c r="E3" s="7">
        <v>0</v>
      </c>
      <c r="F3" s="7">
        <v>0</v>
      </c>
      <c r="G3">
        <v>25</v>
      </c>
      <c r="H3">
        <v>25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>
        <f t="shared" ref="Q3:Q8" si="0">+SUM(E3:P3)</f>
        <v>50</v>
      </c>
    </row>
    <row r="4" spans="1:17" x14ac:dyDescent="0.35">
      <c r="A4" t="s">
        <v>35</v>
      </c>
      <c r="B4" s="3" t="s">
        <v>40</v>
      </c>
      <c r="C4" s="10">
        <v>0.15</v>
      </c>
      <c r="D4" s="9">
        <v>1082</v>
      </c>
      <c r="E4" s="7">
        <v>0</v>
      </c>
      <c r="F4" s="7">
        <v>0</v>
      </c>
      <c r="G4">
        <v>10</v>
      </c>
      <c r="H4">
        <v>40</v>
      </c>
      <c r="I4">
        <v>40</v>
      </c>
      <c r="J4">
        <v>43</v>
      </c>
      <c r="K4">
        <v>30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>
        <f t="shared" si="0"/>
        <v>163</v>
      </c>
    </row>
    <row r="5" spans="1:17" x14ac:dyDescent="0.35">
      <c r="A5" t="s">
        <v>36</v>
      </c>
      <c r="B5" s="3" t="s">
        <v>40</v>
      </c>
      <c r="C5" s="10">
        <v>1</v>
      </c>
      <c r="D5" s="9">
        <v>1250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>
        <v>9</v>
      </c>
      <c r="P5" s="7">
        <v>0</v>
      </c>
      <c r="Q5">
        <f t="shared" si="0"/>
        <v>9</v>
      </c>
    </row>
    <row r="6" spans="1:17" x14ac:dyDescent="0.35">
      <c r="A6" t="s">
        <v>37</v>
      </c>
      <c r="B6" s="3" t="s">
        <v>40</v>
      </c>
      <c r="C6" s="10">
        <v>1</v>
      </c>
      <c r="D6" s="9">
        <v>1250</v>
      </c>
      <c r="E6">
        <v>0</v>
      </c>
      <c r="F6">
        <v>0</v>
      </c>
      <c r="G6">
        <v>0</v>
      </c>
      <c r="H6">
        <v>0</v>
      </c>
      <c r="I6">
        <v>0</v>
      </c>
      <c r="J6">
        <v>9</v>
      </c>
      <c r="K6">
        <v>7</v>
      </c>
      <c r="L6">
        <v>8</v>
      </c>
      <c r="M6">
        <v>11</v>
      </c>
      <c r="N6">
        <v>20</v>
      </c>
      <c r="O6">
        <v>17</v>
      </c>
      <c r="P6">
        <v>0</v>
      </c>
      <c r="Q6">
        <f t="shared" si="0"/>
        <v>72</v>
      </c>
    </row>
    <row r="7" spans="1:17" x14ac:dyDescent="0.35">
      <c r="A7" t="s">
        <v>38</v>
      </c>
      <c r="B7" s="3" t="s">
        <v>40</v>
      </c>
      <c r="C7" s="10">
        <v>0.2</v>
      </c>
      <c r="D7" s="9">
        <v>1082</v>
      </c>
      <c r="E7" s="7">
        <v>0</v>
      </c>
      <c r="F7">
        <v>50</v>
      </c>
      <c r="G7">
        <v>75</v>
      </c>
      <c r="H7">
        <v>75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>
        <f t="shared" si="0"/>
        <v>200</v>
      </c>
    </row>
    <row r="8" spans="1:17" x14ac:dyDescent="0.35">
      <c r="A8" t="s">
        <v>39</v>
      </c>
      <c r="B8" s="3" t="s">
        <v>40</v>
      </c>
      <c r="C8" s="10">
        <v>0.1</v>
      </c>
      <c r="D8" s="9">
        <v>1082</v>
      </c>
      <c r="E8">
        <v>0</v>
      </c>
      <c r="F8">
        <v>0</v>
      </c>
      <c r="G8">
        <v>0</v>
      </c>
      <c r="H8">
        <v>0</v>
      </c>
      <c r="I8">
        <v>0</v>
      </c>
      <c r="J8">
        <v>9</v>
      </c>
      <c r="K8">
        <v>7</v>
      </c>
      <c r="L8">
        <v>8</v>
      </c>
      <c r="M8">
        <v>11</v>
      </c>
      <c r="N8">
        <v>20</v>
      </c>
      <c r="O8">
        <v>26</v>
      </c>
      <c r="P8">
        <v>0</v>
      </c>
      <c r="Q8">
        <f t="shared" si="0"/>
        <v>81</v>
      </c>
    </row>
    <row r="9" spans="1:17" x14ac:dyDescent="0.35">
      <c r="A9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66A9-8D2A-4D8F-B191-20C1012C8062}">
  <dimension ref="A1:Q3"/>
  <sheetViews>
    <sheetView workbookViewId="0">
      <selection activeCell="E5" sqref="E5"/>
    </sheetView>
  </sheetViews>
  <sheetFormatPr baseColWidth="10" defaultRowHeight="14.5" x14ac:dyDescent="0.35"/>
  <sheetData>
    <row r="1" spans="1:17" x14ac:dyDescent="0.35">
      <c r="A1" s="1" t="s">
        <v>0</v>
      </c>
      <c r="B1" s="16" t="s">
        <v>1</v>
      </c>
      <c r="C1" s="2" t="s">
        <v>20</v>
      </c>
      <c r="D1" s="2" t="s">
        <v>7</v>
      </c>
      <c r="E1" s="6">
        <v>46023</v>
      </c>
      <c r="F1" s="6">
        <v>46054</v>
      </c>
      <c r="G1" s="6">
        <v>46082</v>
      </c>
      <c r="H1" s="6">
        <v>46113</v>
      </c>
      <c r="I1" s="6">
        <v>46143</v>
      </c>
      <c r="J1" s="6">
        <v>46174</v>
      </c>
      <c r="K1" s="6">
        <v>46204</v>
      </c>
      <c r="L1" s="6">
        <v>46235</v>
      </c>
      <c r="M1" s="6">
        <v>46266</v>
      </c>
      <c r="N1" s="6">
        <v>46296</v>
      </c>
      <c r="O1" s="6">
        <v>46327</v>
      </c>
      <c r="P1" s="6">
        <v>46357</v>
      </c>
      <c r="Q1" s="6" t="s">
        <v>44</v>
      </c>
    </row>
    <row r="2" spans="1:17" x14ac:dyDescent="0.35">
      <c r="A2" t="s">
        <v>41</v>
      </c>
      <c r="B2" s="3" t="s">
        <v>42</v>
      </c>
      <c r="C2" s="10">
        <v>1</v>
      </c>
      <c r="D2" s="9">
        <v>1614</v>
      </c>
      <c r="E2">
        <v>0</v>
      </c>
      <c r="F2">
        <v>5</v>
      </c>
      <c r="G2">
        <v>15</v>
      </c>
      <c r="H2">
        <v>30</v>
      </c>
      <c r="I2">
        <v>60</v>
      </c>
      <c r="J2">
        <v>90</v>
      </c>
      <c r="K2">
        <v>127</v>
      </c>
      <c r="L2">
        <v>152</v>
      </c>
      <c r="M2">
        <v>175</v>
      </c>
      <c r="N2">
        <v>186</v>
      </c>
      <c r="O2">
        <v>204</v>
      </c>
      <c r="P2">
        <v>218</v>
      </c>
      <c r="Q2">
        <v>1262</v>
      </c>
    </row>
    <row r="3" spans="1:17" x14ac:dyDescent="0.35">
      <c r="A3" t="s">
        <v>43</v>
      </c>
      <c r="B3" s="3" t="s">
        <v>10</v>
      </c>
      <c r="C3" s="10">
        <v>0.35</v>
      </c>
      <c r="D3" s="9">
        <v>301</v>
      </c>
      <c r="E3">
        <v>0</v>
      </c>
      <c r="F3">
        <v>0</v>
      </c>
      <c r="G3">
        <v>0</v>
      </c>
      <c r="H3">
        <v>0</v>
      </c>
      <c r="I3">
        <v>151</v>
      </c>
      <c r="J3">
        <v>354</v>
      </c>
      <c r="K3">
        <v>1081</v>
      </c>
      <c r="L3">
        <v>2032</v>
      </c>
      <c r="M3">
        <v>2996</v>
      </c>
      <c r="N3">
        <v>3949</v>
      </c>
      <c r="O3">
        <v>4878</v>
      </c>
      <c r="P3">
        <v>5811</v>
      </c>
      <c r="Q3">
        <v>21252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Macro</vt:lpstr>
      <vt:lpstr>Expansiones</vt:lpstr>
      <vt:lpstr>Vulnerabilidad</vt:lpstr>
      <vt:lpstr>Banda 3.5 GHZ</vt:lpstr>
      <vt:lpstr>Energia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Ccopacondori Vargas, Sebastian Alexis</dc:creator>
  <cp:lastModifiedBy>Ccopacondori Vargas, Sebastian Alexis</cp:lastModifiedBy>
  <dcterms:created xsi:type="dcterms:W3CDTF">2025-10-20T21:02:07Z</dcterms:created>
  <dcterms:modified xsi:type="dcterms:W3CDTF">2025-10-26T05:41:28Z</dcterms:modified>
</cp:coreProperties>
</file>